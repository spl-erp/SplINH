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LO" sheetId="1" state="visible" r:id="rId3"/>
    <sheet name="WILO" sheetId="2" state="visible" r:id="rId4"/>
    <sheet name="MILO" sheetId="3" state="visible" r:id="rId5"/>
  </sheets>
  <definedNames>
    <definedName function="false" hidden="false" localSheetId="0" name="_xlnm.Print_Area" vbProcedure="false">DILO!$A$1:$O$42</definedName>
    <definedName function="false" hidden="false" localSheetId="0" name="_xlnm.Print_Titles" vbProcedure="false">DILO!$8:$9</definedName>
    <definedName function="false" hidden="false" localSheetId="2" name="_xlnm.Print_Area" vbProcedure="false">MILO!$A$1:$G$62</definedName>
    <definedName function="false" hidden="false" localSheetId="1" name="_xlnm.Print_Area" vbProcedure="false">WILO!$A$1:$Q$22</definedName>
    <definedName function="false" hidden="false" localSheetId="1" name="_xlnm.Print_Titles" vbProcedure="false">WILO!$8:$10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<sst xmlns="http://schemas.openxmlformats.org/spreadsheetml/2006/main" count="166" uniqueCount="116">
  <si>
    <t xml:space="preserve">DILO — Day in the Life Of</t>
  </si>
  <si>
    <t xml:space="preserve">SplashJet Inkjet Ink Pvt. Ltd. — CRM Operating Rhythm  |  Daily SOD plan  →  EOD review</t>
  </si>
  <si>
    <t xml:space="preserve">Prepared by Strategic Concepts (I) Pvt Ltd  |  October 2026</t>
  </si>
  <si>
    <t xml:space="preserve">Salesperson</t>
  </si>
  <si>
    <t xml:space="preserve">Reporting Manager</t>
  </si>
  <si>
    <t xml:space="preserve">Month</t>
  </si>
  <si>
    <t xml:space="preserve">How to use: capture the PLAN columns at SOD (Start of Day) and the ACTUAL columns at EOD (End of Day), then review the day with your manager. Light-yellow cells are for your entries; grey cells calculate automatically. Enter the first date of the month in A11 — the remaining dates fill in.</t>
  </si>
  <si>
    <t xml:space="preserve">Date</t>
  </si>
  <si>
    <t xml:space="preserve">Day</t>
  </si>
  <si>
    <t xml:space="preserve">NEW CALLS (First Time)</t>
  </si>
  <si>
    <t xml:space="preserve">FOLLOW-UP CALLS</t>
  </si>
  <si>
    <t xml:space="preserve">ORDERS EXPECTED TODAY</t>
  </si>
  <si>
    <t xml:space="preserve">PAYMENTS EXPECTED TODAY</t>
  </si>
  <si>
    <t xml:space="preserve">Remarks / Reason for gap (EOD review)</t>
  </si>
  <si>
    <t xml:space="preserve">Plan (SOD)</t>
  </si>
  <si>
    <t xml:space="preserve">Actual (EOD)</t>
  </si>
  <si>
    <t xml:space="preserve">Ach %</t>
  </si>
  <si>
    <t xml:space="preserve">Expected (SOD)</t>
  </si>
  <si>
    <t xml:space="preserve">Received (EOD)</t>
  </si>
  <si>
    <t xml:space="preserve">Example</t>
  </si>
  <si>
    <t xml:space="preserve">—</t>
  </si>
  <si>
    <t xml:space="preserve">Example row (not in totals) — 1 order slipped; PO awaited</t>
  </si>
  <si>
    <t xml:space="preserve">Month Total</t>
  </si>
  <si>
    <t xml:space="preserve">WILO — Week in the Life Of</t>
  </si>
  <si>
    <t xml:space="preserve">SplashJet Inkjet Ink Pvt. Ltd. — CRM Operating Rhythm  |  Weekly scorecard check</t>
  </si>
  <si>
    <t xml:space="preserve">How to use: every week, enter the weekly TARGET and the ACTUAL for each scorecard item and review it with your manager. Light-yellow cells are for your entries; grey cells calculate automatically. Enter the Monday date of each week in the 'Week commencing' row.</t>
  </si>
  <si>
    <t xml:space="preserve">#</t>
  </si>
  <si>
    <t xml:space="preserve">Weekly Scorecard — to be checked for the week</t>
  </si>
  <si>
    <t xml:space="preserve">Definition / Note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</si>
  <si>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</si>
  <si>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</si>
  <si>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</si>
  <si>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</si>
  <si>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</si>
  <si>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Month Target</t>
  </si>
  <si>
    <t xml:space="preserve">Month Actual</t>
  </si>
  <si>
    <t xml:space="preserve">Remarks</t>
  </si>
  <si>
    <t xml:space="preserve">Target</t>
  </si>
  <si>
    <t xml:space="preserve">Actual</t>
  </si>
  <si>
    <t xml:space="preserve">No. of hot meetings arranged</t>
  </si>
  <si>
    <t xml:space="preserve">Hot meetings = leads expected to close within the next one month.</t>
  </si>
  <si>
    <t xml:space="preserve">No. of calls under price negotiation</t>
  </si>
  <si>
    <t xml:space="preserve">Calls / conversations currently in active price negotiation.</t>
  </si>
  <si>
    <t xml:space="preserve">No. of sample / trial orders processed</t>
  </si>
  <si>
    <t xml:space="preserve">Sample or trial orders dispatched / processed in the week.</t>
  </si>
  <si>
    <t xml:space="preserve">Example: if the Week 1 target is 6 hot meetings and 5 were arranged, enter 6 under Target and 5 under Actual for Week 1 — the Month Target, Month Actual and Ach % update on their own.</t>
  </si>
  <si>
    <t xml:space="preserve">WEEKLY REVIEW — Key learnings and actions for the coming week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</si>
  <si>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</si>
  <si>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</si>
  <si>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</si>
  <si>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</si>
  <si>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</si>
  <si>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MILO — Month in the Life Of</t>
  </si>
  <si>
    <t xml:space="preserve">SplashJet Inkjet Ink Pvt. Ltd. — CRM Operating Rhythm  |  Monthly scorecard &amp; next-month planning</t>
  </si>
  <si>
    <t xml:space="preserve">Salesperson / Team</t>
  </si>
  <si>
    <t xml:space="preserve">Reviewed by</t>
  </si>
  <si>
    <t xml:space="preserve">Review date</t>
  </si>
  <si>
    <t xml:space="preserve">How to use: complete at month-end and review with your manager. Light-yellow cells are for your entries; grey cells calculate automatically. Section 7 is the plan for the coming month.</t>
  </si>
  <si>
    <t xml:space="preserve">1.  SALES ORDERS — TARGET vs ACTUAL (nos.)</t>
  </si>
  <si>
    <t xml:space="preserve">Parameter</t>
  </si>
  <si>
    <t xml:space="preserve">Gap (Actual − Target)</t>
  </si>
  <si>
    <t xml:space="preserve">ETC (Existing to Company) — sales orders</t>
  </si>
  <si>
    <t xml:space="preserve">NTC (New to Company) — sales orders</t>
  </si>
  <si>
    <t xml:space="preserve">Delta ETC — sales orders</t>
  </si>
  <si>
    <t xml:space="preserve">NTC = first billing of a channel partner / customer;  ETC = second billing onwards.</t>
  </si>
  <si>
    <t xml:space="preserve">2.  OUTREACH INDEX — MNOC / day for the month (NTC calls only)</t>
  </si>
  <si>
    <t xml:space="preserve">Total MNOC for the month (NTC calls only)</t>
  </si>
  <si>
    <t xml:space="preserve">Working days in the month</t>
  </si>
  <si>
    <t xml:space="preserve">Outreach Index — MNOC / day</t>
  </si>
  <si>
    <t xml:space="preserve">3.  CONVERSATION QUALITY — calls dropped at each station</t>
  </si>
  <si>
    <t xml:space="preserve">Stn</t>
  </si>
  <si>
    <t xml:space="preserve">Calls dropped for…</t>
  </si>
  <si>
    <t xml:space="preserve">No. of calls dropped</t>
  </si>
  <si>
    <t xml:space="preserve">% of total drops</t>
  </si>
  <si>
    <t xml:space="preserve">Rank (1 = highest)</t>
  </si>
  <si>
    <t xml:space="preserve">“No Need” — Station no. 1</t>
  </si>
  <si>
    <t xml:space="preserve">“No Hurry” — Station no. 2</t>
  </si>
  <si>
    <t xml:space="preserve">“No Money” — Station no. 3</t>
  </si>
  <si>
    <t xml:space="preserve">“No Trust” — Station no. 4</t>
  </si>
  <si>
    <t xml:space="preserve">“No Discount” — Station no. 5</t>
  </si>
  <si>
    <t xml:space="preserve">Total calls dropped</t>
  </si>
  <si>
    <t xml:space="preserve">Biggest drop-off station this month</t>
  </si>
  <si>
    <t xml:space="preserve">4.  TASK MANAGEMENT</t>
  </si>
  <si>
    <t xml:space="preserve">Count</t>
  </si>
  <si>
    <t xml:space="preserve">Remarks / Action</t>
  </si>
  <si>
    <t xml:space="preserve">How many tasks are overdue?</t>
  </si>
  <si>
    <t xml:space="preserve">How many tasks were not attended on the due dates planned?</t>
  </si>
  <si>
    <t xml:space="preserve">How many accounts are inactive with no task (next step) defined?</t>
  </si>
  <si>
    <t xml:space="preserve">5.  LEAD GENERATION ENGINE</t>
  </si>
  <si>
    <t xml:space="preserve">How many leads were generated in the month?</t>
  </si>
  <si>
    <t xml:space="preserve">What is the Lead Score?</t>
  </si>
  <si>
    <t xml:space="preserve">6.  SALES FUNNEL — status at the end of the month</t>
  </si>
  <si>
    <t xml:space="preserve">Funnel stage</t>
  </si>
  <si>
    <t xml:space="preserve">No. of leads</t>
  </si>
  <si>
    <t xml:space="preserve">% of funnel</t>
  </si>
  <si>
    <t xml:space="preserve">Conversion from previous stage</t>
  </si>
  <si>
    <t xml:space="preserve">TOFU — Top of Funnel (No. of leads)</t>
  </si>
  <si>
    <t xml:space="preserve">MOFU — Middle of Funnel (No. of leads)</t>
  </si>
  <si>
    <t xml:space="preserve">BOFU — Bottom of Funnel (No. of leads)</t>
  </si>
  <si>
    <t xml:space="preserve">Total leads in funnel</t>
  </si>
  <si>
    <t xml:space="preserve">7.  PLANNING FOR NEXT MONTH</t>
  </si>
  <si>
    <t xml:space="preserve">Planning item</t>
  </si>
  <si>
    <t xml:space="preserve">Plan / Details</t>
  </si>
  <si>
    <t xml:space="preserve">Owner  |  Timeline  |  Support needed</t>
  </si>
  <si>
    <t xml:space="preserve">Targeting</t>
  </si>
  <si>
    <t xml:space="preserve">Profiling</t>
  </si>
  <si>
    <t xml:space="preserve">Weekly outreach plan</t>
  </si>
  <si>
    <t xml:space="preserve">Week 1:
Week 2:
Week 3:
Week 4:</t>
  </si>
  <si>
    <t xml:space="preserve">Weekly nurturing plan</t>
  </si>
  <si>
    <t xml:space="preserve">Weekly closure plan</t>
  </si>
  <si>
    <t xml:space="preserve">L&amp;D plan — week-wise</t>
  </si>
  <si>
    <t xml:space="preserve">Anything new to do next month?</t>
  </si>
  <si>
    <t xml:space="preserve">BTL programme</t>
  </si>
  <si>
    <t xml:space="preserve">ATL programme, if any</t>
  </si>
  <si>
    <t xml:space="preserve">Social media plan, if any</t>
  </si>
  <si>
    <t xml:space="preserve">Any support required from management, if any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</si>
</sst>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dd\-mmm\-yy"/>
    <numFmt numFmtId="167" formatCode="General"/>
    <numFmt numFmtId="168" formatCode="dd\-mmm"/>
    <numFmt numFmtId="169" formatCode="mmm\-yyyy"/>
    <numFmt numFmtId="170" formatCode="\+0;\-0;0"/>
    <numFmt numFmtId="171" formatCode="0.0"/>
    <numFmt numFmtId="172" formatCode="\+0.0;\-0.0;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6199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8DC"/>
      </patternFill>
    </fill>
    <fill>
      <patternFill patternType="solid">
        <fgColor rgb="FFFDCB2A"/>
        <bgColor rgb="FFFFCC99"/>
      </patternFill>
    </fill>
    <fill>
      <patternFill patternType="solid">
        <fgColor rgb="FFDCE9F5"/>
        <bgColor rgb="FFE7E6E6"/>
      </patternFill>
    </fill>
    <fill>
      <patternFill patternType="solid">
        <fgColor rgb="FFFFF8DC"/>
        <bgColor rgb="FFF2F2F2"/>
      </patternFill>
    </fill>
    <fill>
      <patternFill patternType="solid">
        <fgColor rgb="FF1F6199"/>
        <bgColor rgb="FF154A78"/>
      </patternFill>
    </fill>
    <fill>
      <patternFill patternType="solid">
        <fgColor rgb="FF154A78"/>
        <bgColor rgb="FF1F6199"/>
      </patternFill>
    </fill>
    <fill>
      <patternFill patternType="solid">
        <fgColor rgb="FFE7E6E6"/>
        <bgColor rgb="FFDCE9F5"/>
      </patternFill>
    </fill>
    <fill>
      <patternFill patternType="solid">
        <fgColor rgb="FFF2F2F2"/>
        <bgColor rgb="FFFFF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3C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8DC"/>
      <rgbColor rgb="FFDCE9F5"/>
      <rgbColor rgb="FF660066"/>
      <rgbColor rgb="FFFF8080"/>
      <rgbColor rgb="FF1F61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7E6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DCB2A"/>
      <rgbColor rgb="FFFF9900"/>
      <rgbColor rgb="FFFF6600"/>
      <rgbColor rgb="FF595959"/>
      <rgbColor rgb="FF969696"/>
      <rgbColor rgb="FF154A78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1123920</xdr:colOff>
      <xdr:row>0</xdr:row>
      <xdr:rowOff>28440</xdr:rowOff>
    </xdr:from>
    <xdr:to>
      <xdr:col>14</xdr:col>
      <xdr:colOff>2409480</xdr:colOff>
      <xdr:row>2</xdr:row>
      <xdr:rowOff>218520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767320" y="28440"/>
          <a:ext cx="1285560" cy="875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857160</xdr:colOff>
      <xdr:row>0</xdr:row>
      <xdr:rowOff>28440</xdr:rowOff>
    </xdr:from>
    <xdr:to>
      <xdr:col>16</xdr:col>
      <xdr:colOff>2142720</xdr:colOff>
      <xdr:row>2</xdr:row>
      <xdr:rowOff>218520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5306480" y="28440"/>
          <a:ext cx="1285560" cy="875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1523880</xdr:colOff>
      <xdr:row>0</xdr:row>
      <xdr:rowOff>28440</xdr:rowOff>
    </xdr:from>
    <xdr:to>
      <xdr:col>6</xdr:col>
      <xdr:colOff>2809440</xdr:colOff>
      <xdr:row>2</xdr:row>
      <xdr:rowOff>218520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9700200" y="28440"/>
          <a:ext cx="1285560" cy="875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14" min="3" style="0" width="11"/>
    <col collapsed="false" customWidth="true" hidden="false" outlineLevel="0" max="15" min="15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</row>
    <row r="3" customFormat="false" ht="24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  <c r="O3" s="2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19.5" hidden="false" customHeight="true" outlineLevel="0" collapsed="false">
      <c r="A5" s="6" t="s">
        <v>3</v>
      </c>
      <c r="B5" s="6"/>
      <c r="C5" s="7"/>
      <c r="D5" s="7"/>
      <c r="E5" s="7"/>
      <c r="F5" s="6" t="s">
        <v>4</v>
      </c>
      <c r="G5" s="6"/>
      <c r="H5" s="7"/>
      <c r="I5" s="7"/>
      <c r="J5" s="7"/>
      <c r="K5" s="6" t="s">
        <v>5</v>
      </c>
      <c r="L5" s="6"/>
      <c r="M5" s="7"/>
      <c r="N5" s="7"/>
    </row>
    <row r="6" customFormat="false" ht="30" hidden="false" customHeight="true" outlineLevel="0" collapsed="false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6" hidden="false" customHeight="true" outlineLevel="0" collapsed="false"/>
    <row r="8" customFormat="false" ht="21.75" hidden="false" customHeight="true" outlineLevel="0" collapsed="false">
      <c r="A8" s="9" t="s">
        <v>7</v>
      </c>
      <c r="B8" s="9" t="s">
        <v>8</v>
      </c>
      <c r="C8" s="10" t="s">
        <v>9</v>
      </c>
      <c r="D8" s="10"/>
      <c r="E8" s="10"/>
      <c r="F8" s="10" t="s">
        <v>10</v>
      </c>
      <c r="G8" s="10"/>
      <c r="H8" s="10"/>
      <c r="I8" s="10" t="s">
        <v>11</v>
      </c>
      <c r="J8" s="10"/>
      <c r="K8" s="10"/>
      <c r="L8" s="10" t="s">
        <v>12</v>
      </c>
      <c r="M8" s="10"/>
      <c r="N8" s="10"/>
      <c r="O8" s="9" t="s">
        <v>13</v>
      </c>
    </row>
    <row r="9" customFormat="false" ht="30" hidden="false" customHeight="true" outlineLevel="0" collapsed="false">
      <c r="A9" s="9"/>
      <c r="B9" s="9"/>
      <c r="C9" s="11" t="s">
        <v>14</v>
      </c>
      <c r="D9" s="11" t="s">
        <v>15</v>
      </c>
      <c r="E9" s="11" t="s">
        <v>16</v>
      </c>
      <c r="F9" s="11" t="s">
        <v>14</v>
      </c>
      <c r="G9" s="11" t="s">
        <v>15</v>
      </c>
      <c r="H9" s="11" t="s">
        <v>16</v>
      </c>
      <c r="I9" s="11" t="s">
        <v>17</v>
      </c>
      <c r="J9" s="11" t="s">
        <v>18</v>
      </c>
      <c r="K9" s="11" t="s">
        <v>16</v>
      </c>
      <c r="L9" s="11" t="s">
        <v>17</v>
      </c>
      <c r="M9" s="11" t="s">
        <v>18</v>
      </c>
      <c r="N9" s="11" t="s">
        <v>16</v>
      </c>
      <c r="O9" s="9"/>
    </row>
    <row r="10" customFormat="false" ht="27.75" hidden="false" customHeight="true" outlineLevel="0" collapsed="false">
      <c r="A10" s="12" t="s">
        <v>19</v>
      </c>
      <c r="B10" s="13" t="s">
        <v>20</v>
      </c>
      <c r="C10" s="13" t="n">
        <v>15</v>
      </c>
      <c r="D10" s="13" t="n">
        <v>14</v>
      </c>
      <c r="E10" s="14" t="n">
        <f aca="false">IF(AND(ISNUMBER(C10),C10&gt;0,ISNUMBER(D10)),D10/C10,"")</f>
        <v>0.933333333333333</v>
      </c>
      <c r="F10" s="13" t="n">
        <v>20</v>
      </c>
      <c r="G10" s="13" t="n">
        <v>17</v>
      </c>
      <c r="H10" s="14" t="n">
        <f aca="false">IF(AND(ISNUMBER(F10),F10&gt;0,ISNUMBER(G10)),G10/F10,"")</f>
        <v>0.85</v>
      </c>
      <c r="I10" s="13" t="n">
        <v>3</v>
      </c>
      <c r="J10" s="13" t="n">
        <v>2</v>
      </c>
      <c r="K10" s="14" t="n">
        <f aca="false">IF(AND(ISNUMBER(I10),I10&gt;0,ISNUMBER(J10)),J10/I10,"")</f>
        <v>0.666666666666667</v>
      </c>
      <c r="L10" s="13" t="n">
        <v>2</v>
      </c>
      <c r="M10" s="13" t="n">
        <v>1</v>
      </c>
      <c r="N10" s="14" t="n">
        <f aca="false">IF(AND(ISNUMBER(L10),L10&gt;0,ISNUMBER(M10)),M10/L10,"")</f>
        <v>0.5</v>
      </c>
      <c r="O10" s="15" t="s">
        <v>21</v>
      </c>
    </row>
    <row r="11" customFormat="false" ht="18" hidden="false" customHeight="true" outlineLevel="0" collapsed="false">
      <c r="A11" s="16"/>
      <c r="B11" s="17" t="str">
        <f aca="false">IF(A11="","",TEXT(A11,"ddd"))</f>
        <v/>
      </c>
      <c r="C11" s="18"/>
      <c r="D11" s="18"/>
      <c r="E11" s="19" t="str">
        <f aca="false">IF(AND(ISNUMBER(C11),C11&gt;0,ISNUMBER(D11)),D11/C11,"")</f>
        <v/>
      </c>
      <c r="F11" s="18"/>
      <c r="G11" s="18"/>
      <c r="H11" s="19" t="str">
        <f aca="false">IF(AND(ISNUMBER(F11),F11&gt;0,ISNUMBER(G11)),G11/F11,"")</f>
        <v/>
      </c>
      <c r="I11" s="18"/>
      <c r="J11" s="18"/>
      <c r="K11" s="19" t="str">
        <f aca="false">IF(AND(ISNUMBER(I11),I11&gt;0,ISNUMBER(J11)),J11/I11,"")</f>
        <v/>
      </c>
      <c r="L11" s="18"/>
      <c r="M11" s="18"/>
      <c r="N11" s="19" t="str">
        <f aca="false">IF(AND(ISNUMBER(L11),L11&gt;0,ISNUMBER(M11)),M11/L11,"")</f>
        <v/>
      </c>
      <c r="O11" s="20"/>
    </row>
    <row r="12" customFormat="false" ht="18" hidden="false" customHeight="true" outlineLevel="0" collapsed="false">
      <c r="A12" s="21" t="str">
        <f aca="false">IF(A11="","",A11+1)</f>
        <v/>
      </c>
      <c r="B12" s="17" t="str">
        <f aca="false">IF(A12="","",TEXT(A12,"ddd"))</f>
        <v/>
      </c>
      <c r="C12" s="18"/>
      <c r="D12" s="18"/>
      <c r="E12" s="19" t="str">
        <f aca="false">IF(AND(ISNUMBER(C12),C12&gt;0,ISNUMBER(D12)),D12/C12,"")</f>
        <v/>
      </c>
      <c r="F12" s="18"/>
      <c r="G12" s="18"/>
      <c r="H12" s="19" t="str">
        <f aca="false">IF(AND(ISNUMBER(F12),F12&gt;0,ISNUMBER(G12)),G12/F12,"")</f>
        <v/>
      </c>
      <c r="I12" s="18"/>
      <c r="J12" s="18"/>
      <c r="K12" s="19" t="str">
        <f aca="false">IF(AND(ISNUMBER(I12),I12&gt;0,ISNUMBER(J12)),J12/I12,"")</f>
        <v/>
      </c>
      <c r="L12" s="18"/>
      <c r="M12" s="18"/>
      <c r="N12" s="19" t="str">
        <f aca="false">IF(AND(ISNUMBER(L12),L12&gt;0,ISNUMBER(M12)),M12/L12,"")</f>
        <v/>
      </c>
      <c r="O12" s="20"/>
    </row>
    <row r="13" customFormat="false" ht="18" hidden="false" customHeight="true" outlineLevel="0" collapsed="false">
      <c r="A13" s="21" t="str">
        <f aca="false">IF(A12="","",A12+1)</f>
        <v/>
      </c>
      <c r="B13" s="17" t="str">
        <f aca="false">IF(A13="","",TEXT(A13,"ddd"))</f>
        <v/>
      </c>
      <c r="C13" s="18"/>
      <c r="D13" s="18"/>
      <c r="E13" s="19" t="str">
        <f aca="false">IF(AND(ISNUMBER(C13),C13&gt;0,ISNUMBER(D13)),D13/C13,"")</f>
        <v/>
      </c>
      <c r="F13" s="18"/>
      <c r="G13" s="18"/>
      <c r="H13" s="19" t="str">
        <f aca="false">IF(AND(ISNUMBER(F13),F13&gt;0,ISNUMBER(G13)),G13/F13,"")</f>
        <v/>
      </c>
      <c r="I13" s="18"/>
      <c r="J13" s="18"/>
      <c r="K13" s="19" t="str">
        <f aca="false">IF(AND(ISNUMBER(I13),I13&gt;0,ISNUMBER(J13)),J13/I13,"")</f>
        <v/>
      </c>
      <c r="L13" s="18"/>
      <c r="M13" s="18"/>
      <c r="N13" s="19" t="str">
        <f aca="false">IF(AND(ISNUMBER(L13),L13&gt;0,ISNUMBER(M13)),M13/L13,"")</f>
        <v/>
      </c>
      <c r="O13" s="20"/>
    </row>
    <row r="14" customFormat="false" ht="18" hidden="false" customHeight="true" outlineLevel="0" collapsed="false">
      <c r="A14" s="21" t="str">
        <f aca="false">IF(A13="","",A13+1)</f>
        <v/>
      </c>
      <c r="B14" s="17" t="str">
        <f aca="false">IF(A14="","",TEXT(A14,"ddd"))</f>
        <v/>
      </c>
      <c r="C14" s="18"/>
      <c r="D14" s="18"/>
      <c r="E14" s="19" t="str">
        <f aca="false">IF(AND(ISNUMBER(C14),C14&gt;0,ISNUMBER(D14)),D14/C14,"")</f>
        <v/>
      </c>
      <c r="F14" s="18"/>
      <c r="G14" s="18"/>
      <c r="H14" s="19" t="str">
        <f aca="false">IF(AND(ISNUMBER(F14),F14&gt;0,ISNUMBER(G14)),G14/F14,"")</f>
        <v/>
      </c>
      <c r="I14" s="18"/>
      <c r="J14" s="18"/>
      <c r="K14" s="19" t="str">
        <f aca="false">IF(AND(ISNUMBER(I14),I14&gt;0,ISNUMBER(J14)),J14/I14,"")</f>
        <v/>
      </c>
      <c r="L14" s="18"/>
      <c r="M14" s="18"/>
      <c r="N14" s="19" t="str">
        <f aca="false">IF(AND(ISNUMBER(L14),L14&gt;0,ISNUMBER(M14)),M14/L14,"")</f>
        <v/>
      </c>
      <c r="O14" s="20"/>
    </row>
    <row r="15" customFormat="false" ht="18" hidden="false" customHeight="true" outlineLevel="0" collapsed="false">
      <c r="A15" s="21" t="str">
        <f aca="false">IF(A14="","",A14+1)</f>
        <v/>
      </c>
      <c r="B15" s="17" t="str">
        <f aca="false">IF(A15="","",TEXT(A15,"ddd"))</f>
        <v/>
      </c>
      <c r="C15" s="18"/>
      <c r="D15" s="18"/>
      <c r="E15" s="19" t="str">
        <f aca="false">IF(AND(ISNUMBER(C15),C15&gt;0,ISNUMBER(D15)),D15/C15,"")</f>
        <v/>
      </c>
      <c r="F15" s="18"/>
      <c r="G15" s="18"/>
      <c r="H15" s="19" t="str">
        <f aca="false">IF(AND(ISNUMBER(F15),F15&gt;0,ISNUMBER(G15)),G15/F15,"")</f>
        <v/>
      </c>
      <c r="I15" s="18"/>
      <c r="J15" s="18"/>
      <c r="K15" s="19" t="str">
        <f aca="false">IF(AND(ISNUMBER(I15),I15&gt;0,ISNUMBER(J15)),J15/I15,"")</f>
        <v/>
      </c>
      <c r="L15" s="18"/>
      <c r="M15" s="18"/>
      <c r="N15" s="19" t="str">
        <f aca="false">IF(AND(ISNUMBER(L15),L15&gt;0,ISNUMBER(M15)),M15/L15,"")</f>
        <v/>
      </c>
      <c r="O15" s="20"/>
    </row>
    <row r="16" customFormat="false" ht="18" hidden="false" customHeight="true" outlineLevel="0" collapsed="false">
      <c r="A16" s="21" t="str">
        <f aca="false">IF(A15="","",A15+1)</f>
        <v/>
      </c>
      <c r="B16" s="17" t="str">
        <f aca="false">IF(A16="","",TEXT(A16,"ddd"))</f>
        <v/>
      </c>
      <c r="C16" s="18"/>
      <c r="D16" s="18"/>
      <c r="E16" s="19" t="str">
        <f aca="false">IF(AND(ISNUMBER(C16),C16&gt;0,ISNUMBER(D16)),D16/C16,"")</f>
        <v/>
      </c>
      <c r="F16" s="18"/>
      <c r="G16" s="18"/>
      <c r="H16" s="19" t="str">
        <f aca="false">IF(AND(ISNUMBER(F16),F16&gt;0,ISNUMBER(G16)),G16/F16,"")</f>
        <v/>
      </c>
      <c r="I16" s="18"/>
      <c r="J16" s="18"/>
      <c r="K16" s="19" t="str">
        <f aca="false">IF(AND(ISNUMBER(I16),I16&gt;0,ISNUMBER(J16)),J16/I16,"")</f>
        <v/>
      </c>
      <c r="L16" s="18"/>
      <c r="M16" s="18"/>
      <c r="N16" s="19" t="str">
        <f aca="false">IF(AND(ISNUMBER(L16),L16&gt;0,ISNUMBER(M16)),M16/L16,"")</f>
        <v/>
      </c>
      <c r="O16" s="20"/>
    </row>
    <row r="17" customFormat="false" ht="18" hidden="false" customHeight="true" outlineLevel="0" collapsed="false">
      <c r="A17" s="21" t="str">
        <f aca="false">IF(A16="","",A16+1)</f>
        <v/>
      </c>
      <c r="B17" s="17" t="str">
        <f aca="false">IF(A17="","",TEXT(A17,"ddd"))</f>
        <v/>
      </c>
      <c r="C17" s="18"/>
      <c r="D17" s="18"/>
      <c r="E17" s="19" t="str">
        <f aca="false">IF(AND(ISNUMBER(C17),C17&gt;0,ISNUMBER(D17)),D17/C17,"")</f>
        <v/>
      </c>
      <c r="F17" s="18"/>
      <c r="G17" s="18"/>
      <c r="H17" s="19" t="str">
        <f aca="false">IF(AND(ISNUMBER(F17),F17&gt;0,ISNUMBER(G17)),G17/F17,"")</f>
        <v/>
      </c>
      <c r="I17" s="18"/>
      <c r="J17" s="18"/>
      <c r="K17" s="19" t="str">
        <f aca="false">IF(AND(ISNUMBER(I17),I17&gt;0,ISNUMBER(J17)),J17/I17,"")</f>
        <v/>
      </c>
      <c r="L17" s="18"/>
      <c r="M17" s="18"/>
      <c r="N17" s="19" t="str">
        <f aca="false">IF(AND(ISNUMBER(L17),L17&gt;0,ISNUMBER(M17)),M17/L17,"")</f>
        <v/>
      </c>
      <c r="O17" s="20"/>
    </row>
    <row r="18" customFormat="false" ht="18" hidden="false" customHeight="true" outlineLevel="0" collapsed="false">
      <c r="A18" s="21" t="str">
        <f aca="false">IF(A17="","",A17+1)</f>
        <v/>
      </c>
      <c r="B18" s="17" t="str">
        <f aca="false">IF(A18="","",TEXT(A18,"ddd"))</f>
        <v/>
      </c>
      <c r="C18" s="18"/>
      <c r="D18" s="18"/>
      <c r="E18" s="19" t="str">
        <f aca="false">IF(AND(ISNUMBER(C18),C18&gt;0,ISNUMBER(D18)),D18/C18,"")</f>
        <v/>
      </c>
      <c r="F18" s="18"/>
      <c r="G18" s="18"/>
      <c r="H18" s="19" t="str">
        <f aca="false">IF(AND(ISNUMBER(F18),F18&gt;0,ISNUMBER(G18)),G18/F18,"")</f>
        <v/>
      </c>
      <c r="I18" s="18"/>
      <c r="J18" s="18"/>
      <c r="K18" s="19" t="str">
        <f aca="false">IF(AND(ISNUMBER(I18),I18&gt;0,ISNUMBER(J18)),J18/I18,"")</f>
        <v/>
      </c>
      <c r="L18" s="18"/>
      <c r="M18" s="18"/>
      <c r="N18" s="19" t="str">
        <f aca="false">IF(AND(ISNUMBER(L18),L18&gt;0,ISNUMBER(M18)),M18/L18,"")</f>
        <v/>
      </c>
      <c r="O18" s="20"/>
    </row>
    <row r="19" customFormat="false" ht="18" hidden="false" customHeight="true" outlineLevel="0" collapsed="false">
      <c r="A19" s="21" t="str">
        <f aca="false">IF(A18="","",A18+1)</f>
        <v/>
      </c>
      <c r="B19" s="17" t="str">
        <f aca="false">IF(A19="","",TEXT(A19,"ddd"))</f>
        <v/>
      </c>
      <c r="C19" s="18"/>
      <c r="D19" s="18"/>
      <c r="E19" s="19" t="str">
        <f aca="false">IF(AND(ISNUMBER(C19),C19&gt;0,ISNUMBER(D19)),D19/C19,"")</f>
        <v/>
      </c>
      <c r="F19" s="18"/>
      <c r="G19" s="18"/>
      <c r="H19" s="19" t="str">
        <f aca="false">IF(AND(ISNUMBER(F19),F19&gt;0,ISNUMBER(G19)),G19/F19,"")</f>
        <v/>
      </c>
      <c r="I19" s="18"/>
      <c r="J19" s="18"/>
      <c r="K19" s="19" t="str">
        <f aca="false">IF(AND(ISNUMBER(I19),I19&gt;0,ISNUMBER(J19)),J19/I19,"")</f>
        <v/>
      </c>
      <c r="L19" s="18"/>
      <c r="M19" s="18"/>
      <c r="N19" s="19" t="str">
        <f aca="false">IF(AND(ISNUMBER(L19),L19&gt;0,ISNUMBER(M19)),M19/L19,"")</f>
        <v/>
      </c>
      <c r="O19" s="20"/>
    </row>
    <row r="20" customFormat="false" ht="18" hidden="false" customHeight="true" outlineLevel="0" collapsed="false">
      <c r="A20" s="21" t="str">
        <f aca="false">IF(A19="","",A19+1)</f>
        <v/>
      </c>
      <c r="B20" s="17" t="str">
        <f aca="false">IF(A20="","",TEXT(A20,"ddd"))</f>
        <v/>
      </c>
      <c r="C20" s="18"/>
      <c r="D20" s="18"/>
      <c r="E20" s="19" t="str">
        <f aca="false">IF(AND(ISNUMBER(C20),C20&gt;0,ISNUMBER(D20)),D20/C20,"")</f>
        <v/>
      </c>
      <c r="F20" s="18"/>
      <c r="G20" s="18"/>
      <c r="H20" s="19" t="str">
        <f aca="false">IF(AND(ISNUMBER(F20),F20&gt;0,ISNUMBER(G20)),G20/F20,"")</f>
        <v/>
      </c>
      <c r="I20" s="18"/>
      <c r="J20" s="18"/>
      <c r="K20" s="19" t="str">
        <f aca="false">IF(AND(ISNUMBER(I20),I20&gt;0,ISNUMBER(J20)),J20/I20,"")</f>
        <v/>
      </c>
      <c r="L20" s="18"/>
      <c r="M20" s="18"/>
      <c r="N20" s="19" t="str">
        <f aca="false">IF(AND(ISNUMBER(L20),L20&gt;0,ISNUMBER(M20)),M20/L20,"")</f>
        <v/>
      </c>
      <c r="O20" s="20"/>
    </row>
    <row r="21" customFormat="false" ht="18" hidden="false" customHeight="true" outlineLevel="0" collapsed="false">
      <c r="A21" s="21" t="str">
        <f aca="false">IF(A20="","",A20+1)</f>
        <v/>
      </c>
      <c r="B21" s="17" t="str">
        <f aca="false">IF(A21="","",TEXT(A21,"ddd"))</f>
        <v/>
      </c>
      <c r="C21" s="18"/>
      <c r="D21" s="18"/>
      <c r="E21" s="19" t="str">
        <f aca="false">IF(AND(ISNUMBER(C21),C21&gt;0,ISNUMBER(D21)),D21/C21,"")</f>
        <v/>
      </c>
      <c r="F21" s="18"/>
      <c r="G21" s="18"/>
      <c r="H21" s="19" t="str">
        <f aca="false">IF(AND(ISNUMBER(F21),F21&gt;0,ISNUMBER(G21)),G21/F21,"")</f>
        <v/>
      </c>
      <c r="I21" s="18"/>
      <c r="J21" s="18"/>
      <c r="K21" s="19" t="str">
        <f aca="false">IF(AND(ISNUMBER(I21),I21&gt;0,ISNUMBER(J21)),J21/I21,"")</f>
        <v/>
      </c>
      <c r="L21" s="18"/>
      <c r="M21" s="18"/>
      <c r="N21" s="19" t="str">
        <f aca="false">IF(AND(ISNUMBER(L21),L21&gt;0,ISNUMBER(M21)),M21/L21,"")</f>
        <v/>
      </c>
      <c r="O21" s="20"/>
    </row>
    <row r="22" customFormat="false" ht="18" hidden="false" customHeight="true" outlineLevel="0" collapsed="false">
      <c r="A22" s="21" t="str">
        <f aca="false">IF(A21="","",A21+1)</f>
        <v/>
      </c>
      <c r="B22" s="17" t="str">
        <f aca="false">IF(A22="","",TEXT(A22,"ddd"))</f>
        <v/>
      </c>
      <c r="C22" s="18"/>
      <c r="D22" s="18"/>
      <c r="E22" s="19" t="str">
        <f aca="false">IF(AND(ISNUMBER(C22),C22&gt;0,ISNUMBER(D22)),D22/C22,"")</f>
        <v/>
      </c>
      <c r="F22" s="18"/>
      <c r="G22" s="18"/>
      <c r="H22" s="19" t="str">
        <f aca="false">IF(AND(ISNUMBER(F22),F22&gt;0,ISNUMBER(G22)),G22/F22,"")</f>
        <v/>
      </c>
      <c r="I22" s="18"/>
      <c r="J22" s="18"/>
      <c r="K22" s="19" t="str">
        <f aca="false">IF(AND(ISNUMBER(I22),I22&gt;0,ISNUMBER(J22)),J22/I22,"")</f>
        <v/>
      </c>
      <c r="L22" s="18"/>
      <c r="M22" s="18"/>
      <c r="N22" s="19" t="str">
        <f aca="false">IF(AND(ISNUMBER(L22),L22&gt;0,ISNUMBER(M22)),M22/L22,"")</f>
        <v/>
      </c>
      <c r="O22" s="20"/>
    </row>
    <row r="23" customFormat="false" ht="18" hidden="false" customHeight="true" outlineLevel="0" collapsed="false">
      <c r="A23" s="21" t="str">
        <f aca="false">IF(A22="","",A22+1)</f>
        <v/>
      </c>
      <c r="B23" s="17" t="str">
        <f aca="false">IF(A23="","",TEXT(A23,"ddd"))</f>
        <v/>
      </c>
      <c r="C23" s="18"/>
      <c r="D23" s="18"/>
      <c r="E23" s="19" t="str">
        <f aca="false">IF(AND(ISNUMBER(C23),C23&gt;0,ISNUMBER(D23)),D23/C23,"")</f>
        <v/>
      </c>
      <c r="F23" s="18"/>
      <c r="G23" s="18"/>
      <c r="H23" s="19" t="str">
        <f aca="false">IF(AND(ISNUMBER(F23),F23&gt;0,ISNUMBER(G23)),G23/F23,"")</f>
        <v/>
      </c>
      <c r="I23" s="18"/>
      <c r="J23" s="18"/>
      <c r="K23" s="19" t="str">
        <f aca="false">IF(AND(ISNUMBER(I23),I23&gt;0,ISNUMBER(J23)),J23/I23,"")</f>
        <v/>
      </c>
      <c r="L23" s="18"/>
      <c r="M23" s="18"/>
      <c r="N23" s="19" t="str">
        <f aca="false">IF(AND(ISNUMBER(L23),L23&gt;0,ISNUMBER(M23)),M23/L23,"")</f>
        <v/>
      </c>
      <c r="O23" s="20"/>
    </row>
    <row r="24" customFormat="false" ht="18" hidden="false" customHeight="true" outlineLevel="0" collapsed="false">
      <c r="A24" s="21" t="str">
        <f aca="false">IF(A23="","",A23+1)</f>
        <v/>
      </c>
      <c r="B24" s="17" t="str">
        <f aca="false">IF(A24="","",TEXT(A24,"ddd"))</f>
        <v/>
      </c>
      <c r="C24" s="18"/>
      <c r="D24" s="18"/>
      <c r="E24" s="19" t="str">
        <f aca="false">IF(AND(ISNUMBER(C24),C24&gt;0,ISNUMBER(D24)),D24/C24,"")</f>
        <v/>
      </c>
      <c r="F24" s="18"/>
      <c r="G24" s="18"/>
      <c r="H24" s="19" t="str">
        <f aca="false">IF(AND(ISNUMBER(F24),F24&gt;0,ISNUMBER(G24)),G24/F24,"")</f>
        <v/>
      </c>
      <c r="I24" s="18"/>
      <c r="J24" s="18"/>
      <c r="K24" s="19" t="str">
        <f aca="false">IF(AND(ISNUMBER(I24),I24&gt;0,ISNUMBER(J24)),J24/I24,"")</f>
        <v/>
      </c>
      <c r="L24" s="18"/>
      <c r="M24" s="18"/>
      <c r="N24" s="19" t="str">
        <f aca="false">IF(AND(ISNUMBER(L24),L24&gt;0,ISNUMBER(M24)),M24/L24,"")</f>
        <v/>
      </c>
      <c r="O24" s="20"/>
    </row>
    <row r="25" customFormat="false" ht="18" hidden="false" customHeight="true" outlineLevel="0" collapsed="false">
      <c r="A25" s="21" t="str">
        <f aca="false">IF(A24="","",A24+1)</f>
        <v/>
      </c>
      <c r="B25" s="17" t="str">
        <f aca="false">IF(A25="","",TEXT(A25,"ddd"))</f>
        <v/>
      </c>
      <c r="C25" s="18"/>
      <c r="D25" s="18"/>
      <c r="E25" s="19" t="str">
        <f aca="false">IF(AND(ISNUMBER(C25),C25&gt;0,ISNUMBER(D25)),D25/C25,"")</f>
        <v/>
      </c>
      <c r="F25" s="18"/>
      <c r="G25" s="18"/>
      <c r="H25" s="19" t="str">
        <f aca="false">IF(AND(ISNUMBER(F25),F25&gt;0,ISNUMBER(G25)),G25/F25,"")</f>
        <v/>
      </c>
      <c r="I25" s="18"/>
      <c r="J25" s="18"/>
      <c r="K25" s="19" t="str">
        <f aca="false">IF(AND(ISNUMBER(I25),I25&gt;0,ISNUMBER(J25)),J25/I25,"")</f>
        <v/>
      </c>
      <c r="L25" s="18"/>
      <c r="M25" s="18"/>
      <c r="N25" s="19" t="str">
        <f aca="false">IF(AND(ISNUMBER(L25),L25&gt;0,ISNUMBER(M25)),M25/L25,"")</f>
        <v/>
      </c>
      <c r="O25" s="20"/>
    </row>
    <row r="26" customFormat="false" ht="18" hidden="false" customHeight="true" outlineLevel="0" collapsed="false">
      <c r="A26" s="21" t="str">
        <f aca="false">IF(A25="","",A25+1)</f>
        <v/>
      </c>
      <c r="B26" s="17" t="str">
        <f aca="false">IF(A26="","",TEXT(A26,"ddd"))</f>
        <v/>
      </c>
      <c r="C26" s="18"/>
      <c r="D26" s="18"/>
      <c r="E26" s="19" t="str">
        <f aca="false">IF(AND(ISNUMBER(C26),C26&gt;0,ISNUMBER(D26)),D26/C26,"")</f>
        <v/>
      </c>
      <c r="F26" s="18"/>
      <c r="G26" s="18"/>
      <c r="H26" s="19" t="str">
        <f aca="false">IF(AND(ISNUMBER(F26),F26&gt;0,ISNUMBER(G26)),G26/F26,"")</f>
        <v/>
      </c>
      <c r="I26" s="18"/>
      <c r="J26" s="18"/>
      <c r="K26" s="19" t="str">
        <f aca="false">IF(AND(ISNUMBER(I26),I26&gt;0,ISNUMBER(J26)),J26/I26,"")</f>
        <v/>
      </c>
      <c r="L26" s="18"/>
      <c r="M26" s="18"/>
      <c r="N26" s="19" t="str">
        <f aca="false">IF(AND(ISNUMBER(L26),L26&gt;0,ISNUMBER(M26)),M26/L26,"")</f>
        <v/>
      </c>
      <c r="O26" s="20"/>
    </row>
    <row r="27" customFormat="false" ht="18" hidden="false" customHeight="true" outlineLevel="0" collapsed="false">
      <c r="A27" s="21" t="str">
        <f aca="false">IF(A26="","",A26+1)</f>
        <v/>
      </c>
      <c r="B27" s="17" t="str">
        <f aca="false">IF(A27="","",TEXT(A27,"ddd"))</f>
        <v/>
      </c>
      <c r="C27" s="18"/>
      <c r="D27" s="18"/>
      <c r="E27" s="19" t="str">
        <f aca="false">IF(AND(ISNUMBER(C27),C27&gt;0,ISNUMBER(D27)),D27/C27,"")</f>
        <v/>
      </c>
      <c r="F27" s="18"/>
      <c r="G27" s="18"/>
      <c r="H27" s="19" t="str">
        <f aca="false">IF(AND(ISNUMBER(F27),F27&gt;0,ISNUMBER(G27)),G27/F27,"")</f>
        <v/>
      </c>
      <c r="I27" s="18"/>
      <c r="J27" s="18"/>
      <c r="K27" s="19" t="str">
        <f aca="false">IF(AND(ISNUMBER(I27),I27&gt;0,ISNUMBER(J27)),J27/I27,"")</f>
        <v/>
      </c>
      <c r="L27" s="18"/>
      <c r="M27" s="18"/>
      <c r="N27" s="19" t="str">
        <f aca="false">IF(AND(ISNUMBER(L27),L27&gt;0,ISNUMBER(M27)),M27/L27,"")</f>
        <v/>
      </c>
      <c r="O27" s="20"/>
    </row>
    <row r="28" customFormat="false" ht="18" hidden="false" customHeight="true" outlineLevel="0" collapsed="false">
      <c r="A28" s="21" t="str">
        <f aca="false">IF(A27="","",A27+1)</f>
        <v/>
      </c>
      <c r="B28" s="17" t="str">
        <f aca="false">IF(A28="","",TEXT(A28,"ddd"))</f>
        <v/>
      </c>
      <c r="C28" s="18"/>
      <c r="D28" s="18"/>
      <c r="E28" s="19" t="str">
        <f aca="false">IF(AND(ISNUMBER(C28),C28&gt;0,ISNUMBER(D28)),D28/C28,"")</f>
        <v/>
      </c>
      <c r="F28" s="18"/>
      <c r="G28" s="18"/>
      <c r="H28" s="19" t="str">
        <f aca="false">IF(AND(ISNUMBER(F28),F28&gt;0,ISNUMBER(G28)),G28/F28,"")</f>
        <v/>
      </c>
      <c r="I28" s="18"/>
      <c r="J28" s="18"/>
      <c r="K28" s="19" t="str">
        <f aca="false">IF(AND(ISNUMBER(I28),I28&gt;0,ISNUMBER(J28)),J28/I28,"")</f>
        <v/>
      </c>
      <c r="L28" s="18"/>
      <c r="M28" s="18"/>
      <c r="N28" s="19" t="str">
        <f aca="false">IF(AND(ISNUMBER(L28),L28&gt;0,ISNUMBER(M28)),M28/L28,"")</f>
        <v/>
      </c>
      <c r="O28" s="20"/>
    </row>
    <row r="29" customFormat="false" ht="18" hidden="false" customHeight="true" outlineLevel="0" collapsed="false">
      <c r="A29" s="21" t="str">
        <f aca="false">IF(A28="","",A28+1)</f>
        <v/>
      </c>
      <c r="B29" s="17" t="str">
        <f aca="false">IF(A29="","",TEXT(A29,"ddd"))</f>
        <v/>
      </c>
      <c r="C29" s="18"/>
      <c r="D29" s="18"/>
      <c r="E29" s="19" t="str">
        <f aca="false">IF(AND(ISNUMBER(C29),C29&gt;0,ISNUMBER(D29)),D29/C29,"")</f>
        <v/>
      </c>
      <c r="F29" s="18"/>
      <c r="G29" s="18"/>
      <c r="H29" s="19" t="str">
        <f aca="false">IF(AND(ISNUMBER(F29),F29&gt;0,ISNUMBER(G29)),G29/F29,"")</f>
        <v/>
      </c>
      <c r="I29" s="18"/>
      <c r="J29" s="18"/>
      <c r="K29" s="19" t="str">
        <f aca="false">IF(AND(ISNUMBER(I29),I29&gt;0,ISNUMBER(J29)),J29/I29,"")</f>
        <v/>
      </c>
      <c r="L29" s="18"/>
      <c r="M29" s="18"/>
      <c r="N29" s="19" t="str">
        <f aca="false">IF(AND(ISNUMBER(L29),L29&gt;0,ISNUMBER(M29)),M29/L29,"")</f>
        <v/>
      </c>
      <c r="O29" s="20"/>
    </row>
    <row r="30" customFormat="false" ht="18" hidden="false" customHeight="true" outlineLevel="0" collapsed="false">
      <c r="A30" s="21" t="str">
        <f aca="false">IF(A29="","",A29+1)</f>
        <v/>
      </c>
      <c r="B30" s="17" t="str">
        <f aca="false">IF(A30="","",TEXT(A30,"ddd"))</f>
        <v/>
      </c>
      <c r="C30" s="18"/>
      <c r="D30" s="18"/>
      <c r="E30" s="19" t="str">
        <f aca="false">IF(AND(ISNUMBER(C30),C30&gt;0,ISNUMBER(D30)),D30/C30,"")</f>
        <v/>
      </c>
      <c r="F30" s="18"/>
      <c r="G30" s="18"/>
      <c r="H30" s="19" t="str">
        <f aca="false">IF(AND(ISNUMBER(F30),F30&gt;0,ISNUMBER(G30)),G30/F30,"")</f>
        <v/>
      </c>
      <c r="I30" s="18"/>
      <c r="J30" s="18"/>
      <c r="K30" s="19" t="str">
        <f aca="false">IF(AND(ISNUMBER(I30),I30&gt;0,ISNUMBER(J30)),J30/I30,"")</f>
        <v/>
      </c>
      <c r="L30" s="18"/>
      <c r="M30" s="18"/>
      <c r="N30" s="19" t="str">
        <f aca="false">IF(AND(ISNUMBER(L30),L30&gt;0,ISNUMBER(M30)),M30/L30,"")</f>
        <v/>
      </c>
      <c r="O30" s="20"/>
    </row>
    <row r="31" customFormat="false" ht="18" hidden="false" customHeight="true" outlineLevel="0" collapsed="false">
      <c r="A31" s="21" t="str">
        <f aca="false">IF(A30="","",A30+1)</f>
        <v/>
      </c>
      <c r="B31" s="17" t="str">
        <f aca="false">IF(A31="","",TEXT(A31,"ddd"))</f>
        <v/>
      </c>
      <c r="C31" s="18"/>
      <c r="D31" s="18"/>
      <c r="E31" s="19" t="str">
        <f aca="false">IF(AND(ISNUMBER(C31),C31&gt;0,ISNUMBER(D31)),D31/C31,"")</f>
        <v/>
      </c>
      <c r="F31" s="18"/>
      <c r="G31" s="18"/>
      <c r="H31" s="19" t="str">
        <f aca="false">IF(AND(ISNUMBER(F31),F31&gt;0,ISNUMBER(G31)),G31/F31,"")</f>
        <v/>
      </c>
      <c r="I31" s="18"/>
      <c r="J31" s="18"/>
      <c r="K31" s="19" t="str">
        <f aca="false">IF(AND(ISNUMBER(I31),I31&gt;0,ISNUMBER(J31)),J31/I31,"")</f>
        <v/>
      </c>
      <c r="L31" s="18"/>
      <c r="M31" s="18"/>
      <c r="N31" s="19" t="str">
        <f aca="false">IF(AND(ISNUMBER(L31),L31&gt;0,ISNUMBER(M31)),M31/L31,"")</f>
        <v/>
      </c>
      <c r="O31" s="20"/>
    </row>
    <row r="32" customFormat="false" ht="18" hidden="false" customHeight="true" outlineLevel="0" collapsed="false">
      <c r="A32" s="21" t="str">
        <f aca="false">IF(A31="","",A31+1)</f>
        <v/>
      </c>
      <c r="B32" s="17" t="str">
        <f aca="false">IF(A32="","",TEXT(A32,"ddd"))</f>
        <v/>
      </c>
      <c r="C32" s="18"/>
      <c r="D32" s="18"/>
      <c r="E32" s="19" t="str">
        <f aca="false">IF(AND(ISNUMBER(C32),C32&gt;0,ISNUMBER(D32)),D32/C32,"")</f>
        <v/>
      </c>
      <c r="F32" s="18"/>
      <c r="G32" s="18"/>
      <c r="H32" s="19" t="str">
        <f aca="false">IF(AND(ISNUMBER(F32),F32&gt;0,ISNUMBER(G32)),G32/F32,"")</f>
        <v/>
      </c>
      <c r="I32" s="18"/>
      <c r="J32" s="18"/>
      <c r="K32" s="19" t="str">
        <f aca="false">IF(AND(ISNUMBER(I32),I32&gt;0,ISNUMBER(J32)),J32/I32,"")</f>
        <v/>
      </c>
      <c r="L32" s="18"/>
      <c r="M32" s="18"/>
      <c r="N32" s="19" t="str">
        <f aca="false">IF(AND(ISNUMBER(L32),L32&gt;0,ISNUMBER(M32)),M32/L32,"")</f>
        <v/>
      </c>
      <c r="O32" s="20"/>
    </row>
    <row r="33" customFormat="false" ht="18" hidden="false" customHeight="true" outlineLevel="0" collapsed="false">
      <c r="A33" s="21" t="str">
        <f aca="false">IF(A32="","",A32+1)</f>
        <v/>
      </c>
      <c r="B33" s="17" t="str">
        <f aca="false">IF(A33="","",TEXT(A33,"ddd"))</f>
        <v/>
      </c>
      <c r="C33" s="18"/>
      <c r="D33" s="18"/>
      <c r="E33" s="19" t="str">
        <f aca="false">IF(AND(ISNUMBER(C33),C33&gt;0,ISNUMBER(D33)),D33/C33,"")</f>
        <v/>
      </c>
      <c r="F33" s="18"/>
      <c r="G33" s="18"/>
      <c r="H33" s="19" t="str">
        <f aca="false">IF(AND(ISNUMBER(F33),F33&gt;0,ISNUMBER(G33)),G33/F33,"")</f>
        <v/>
      </c>
      <c r="I33" s="18"/>
      <c r="J33" s="18"/>
      <c r="K33" s="19" t="str">
        <f aca="false">IF(AND(ISNUMBER(I33),I33&gt;0,ISNUMBER(J33)),J33/I33,"")</f>
        <v/>
      </c>
      <c r="L33" s="18"/>
      <c r="M33" s="18"/>
      <c r="N33" s="19" t="str">
        <f aca="false">IF(AND(ISNUMBER(L33),L33&gt;0,ISNUMBER(M33)),M33/L33,"")</f>
        <v/>
      </c>
      <c r="O33" s="20"/>
    </row>
    <row r="34" customFormat="false" ht="18" hidden="false" customHeight="true" outlineLevel="0" collapsed="false">
      <c r="A34" s="21" t="str">
        <f aca="false">IF(A33="","",A33+1)</f>
        <v/>
      </c>
      <c r="B34" s="17" t="str">
        <f aca="false">IF(A34="","",TEXT(A34,"ddd"))</f>
        <v/>
      </c>
      <c r="C34" s="18"/>
      <c r="D34" s="18"/>
      <c r="E34" s="19" t="str">
        <f aca="false">IF(AND(ISNUMBER(C34),C34&gt;0,ISNUMBER(D34)),D34/C34,"")</f>
        <v/>
      </c>
      <c r="F34" s="18"/>
      <c r="G34" s="18"/>
      <c r="H34" s="19" t="str">
        <f aca="false">IF(AND(ISNUMBER(F34),F34&gt;0,ISNUMBER(G34)),G34/F34,"")</f>
        <v/>
      </c>
      <c r="I34" s="18"/>
      <c r="J34" s="18"/>
      <c r="K34" s="19" t="str">
        <f aca="false">IF(AND(ISNUMBER(I34),I34&gt;0,ISNUMBER(J34)),J34/I34,"")</f>
        <v/>
      </c>
      <c r="L34" s="18"/>
      <c r="M34" s="18"/>
      <c r="N34" s="19" t="str">
        <f aca="false">IF(AND(ISNUMBER(L34),L34&gt;0,ISNUMBER(M34)),M34/L34,"")</f>
        <v/>
      </c>
      <c r="O34" s="20"/>
    </row>
    <row r="35" customFormat="false" ht="18" hidden="false" customHeight="true" outlineLevel="0" collapsed="false">
      <c r="A35" s="21" t="str">
        <f aca="false">IF(A34="","",A34+1)</f>
        <v/>
      </c>
      <c r="B35" s="17" t="str">
        <f aca="false">IF(A35="","",TEXT(A35,"ddd"))</f>
        <v/>
      </c>
      <c r="C35" s="18"/>
      <c r="D35" s="18"/>
      <c r="E35" s="19" t="str">
        <f aca="false">IF(AND(ISNUMBER(C35),C35&gt;0,ISNUMBER(D35)),D35/C35,"")</f>
        <v/>
      </c>
      <c r="F35" s="18"/>
      <c r="G35" s="18"/>
      <c r="H35" s="19" t="str">
        <f aca="false">IF(AND(ISNUMBER(F35),F35&gt;0,ISNUMBER(G35)),G35/F35,"")</f>
        <v/>
      </c>
      <c r="I35" s="18"/>
      <c r="J35" s="18"/>
      <c r="K35" s="19" t="str">
        <f aca="false">IF(AND(ISNUMBER(I35),I35&gt;0,ISNUMBER(J35)),J35/I35,"")</f>
        <v/>
      </c>
      <c r="L35" s="18"/>
      <c r="M35" s="18"/>
      <c r="N35" s="19" t="str">
        <f aca="false">IF(AND(ISNUMBER(L35),L35&gt;0,ISNUMBER(M35)),M35/L35,"")</f>
        <v/>
      </c>
      <c r="O35" s="20"/>
    </row>
    <row r="36" customFormat="false" ht="18" hidden="false" customHeight="true" outlineLevel="0" collapsed="false">
      <c r="A36" s="21" t="str">
        <f aca="false">IF(A35="","",A35+1)</f>
        <v/>
      </c>
      <c r="B36" s="17" t="str">
        <f aca="false">IF(A36="","",TEXT(A36,"ddd"))</f>
        <v/>
      </c>
      <c r="C36" s="18"/>
      <c r="D36" s="18"/>
      <c r="E36" s="19" t="str">
        <f aca="false">IF(AND(ISNUMBER(C36),C36&gt;0,ISNUMBER(D36)),D36/C36,"")</f>
        <v/>
      </c>
      <c r="F36" s="18"/>
      <c r="G36" s="18"/>
      <c r="H36" s="19" t="str">
        <f aca="false">IF(AND(ISNUMBER(F36),F36&gt;0,ISNUMBER(G36)),G36/F36,"")</f>
        <v/>
      </c>
      <c r="I36" s="18"/>
      <c r="J36" s="18"/>
      <c r="K36" s="19" t="str">
        <f aca="false">IF(AND(ISNUMBER(I36),I36&gt;0,ISNUMBER(J36)),J36/I36,"")</f>
        <v/>
      </c>
      <c r="L36" s="18"/>
      <c r="M36" s="18"/>
      <c r="N36" s="19" t="str">
        <f aca="false">IF(AND(ISNUMBER(L36),L36&gt;0,ISNUMBER(M36)),M36/L36,"")</f>
        <v/>
      </c>
      <c r="O36" s="20"/>
    </row>
    <row r="37" customFormat="false" ht="18" hidden="false" customHeight="true" outlineLevel="0" collapsed="false">
      <c r="A37" s="21" t="str">
        <f aca="false">IF(A36="","",A36+1)</f>
        <v/>
      </c>
      <c r="B37" s="17" t="str">
        <f aca="false">IF(A37="","",TEXT(A37,"ddd"))</f>
        <v/>
      </c>
      <c r="C37" s="18"/>
      <c r="D37" s="18"/>
      <c r="E37" s="19" t="str">
        <f aca="false">IF(AND(ISNUMBER(C37),C37&gt;0,ISNUMBER(D37)),D37/C37,"")</f>
        <v/>
      </c>
      <c r="F37" s="18"/>
      <c r="G37" s="18"/>
      <c r="H37" s="19" t="str">
        <f aca="false">IF(AND(ISNUMBER(F37),F37&gt;0,ISNUMBER(G37)),G37/F37,"")</f>
        <v/>
      </c>
      <c r="I37" s="18"/>
      <c r="J37" s="18"/>
      <c r="K37" s="19" t="str">
        <f aca="false">IF(AND(ISNUMBER(I37),I37&gt;0,ISNUMBER(J37)),J37/I37,"")</f>
        <v/>
      </c>
      <c r="L37" s="18"/>
      <c r="M37" s="18"/>
      <c r="N37" s="19" t="str">
        <f aca="false">IF(AND(ISNUMBER(L37),L37&gt;0,ISNUMBER(M37)),M37/L37,"")</f>
        <v/>
      </c>
      <c r="O37" s="20"/>
    </row>
    <row r="38" customFormat="false" ht="18" hidden="false" customHeight="true" outlineLevel="0" collapsed="false">
      <c r="A38" s="21" t="str">
        <f aca="false">IF(A37="","",A37+1)</f>
        <v/>
      </c>
      <c r="B38" s="17" t="str">
        <f aca="false">IF(A38="","",TEXT(A38,"ddd"))</f>
        <v/>
      </c>
      <c r="C38" s="18"/>
      <c r="D38" s="18"/>
      <c r="E38" s="19" t="str">
        <f aca="false">IF(AND(ISNUMBER(C38),C38&gt;0,ISNUMBER(D38)),D38/C38,"")</f>
        <v/>
      </c>
      <c r="F38" s="18"/>
      <c r="G38" s="18"/>
      <c r="H38" s="19" t="str">
        <f aca="false">IF(AND(ISNUMBER(F38),F38&gt;0,ISNUMBER(G38)),G38/F38,"")</f>
        <v/>
      </c>
      <c r="I38" s="18"/>
      <c r="J38" s="18"/>
      <c r="K38" s="19" t="str">
        <f aca="false">IF(AND(ISNUMBER(I38),I38&gt;0,ISNUMBER(J38)),J38/I38,"")</f>
        <v/>
      </c>
      <c r="L38" s="18"/>
      <c r="M38" s="18"/>
      <c r="N38" s="19" t="str">
        <f aca="false">IF(AND(ISNUMBER(L38),L38&gt;0,ISNUMBER(M38)),M38/L38,"")</f>
        <v/>
      </c>
      <c r="O38" s="20"/>
    </row>
    <row r="39" customFormat="false" ht="18" hidden="false" customHeight="true" outlineLevel="0" collapsed="false">
      <c r="A39" s="21" t="str">
        <f aca="false">IF(A38="","",A38+1)</f>
        <v/>
      </c>
      <c r="B39" s="17" t="str">
        <f aca="false">IF(A39="","",TEXT(A39,"ddd"))</f>
        <v/>
      </c>
      <c r="C39" s="18"/>
      <c r="D39" s="18"/>
      <c r="E39" s="19" t="str">
        <f aca="false">IF(AND(ISNUMBER(C39),C39&gt;0,ISNUMBER(D39)),D39/C39,"")</f>
        <v/>
      </c>
      <c r="F39" s="18"/>
      <c r="G39" s="18"/>
      <c r="H39" s="19" t="str">
        <f aca="false">IF(AND(ISNUMBER(F39),F39&gt;0,ISNUMBER(G39)),G39/F39,"")</f>
        <v/>
      </c>
      <c r="I39" s="18"/>
      <c r="J39" s="18"/>
      <c r="K39" s="19" t="str">
        <f aca="false">IF(AND(ISNUMBER(I39),I39&gt;0,ISNUMBER(J39)),J39/I39,"")</f>
        <v/>
      </c>
      <c r="L39" s="18"/>
      <c r="M39" s="18"/>
      <c r="N39" s="19" t="str">
        <f aca="false">IF(AND(ISNUMBER(L39),L39&gt;0,ISNUMBER(M39)),M39/L39,"")</f>
        <v/>
      </c>
      <c r="O39" s="20"/>
    </row>
    <row r="40" customFormat="false" ht="18" hidden="false" customHeight="true" outlineLevel="0" collapsed="false">
      <c r="A40" s="21" t="str">
        <f aca="false">IF(A39="","",A39+1)</f>
        <v/>
      </c>
      <c r="B40" s="17" t="str">
        <f aca="false">IF(A40="","",TEXT(A40,"ddd"))</f>
        <v/>
      </c>
      <c r="C40" s="18"/>
      <c r="D40" s="18"/>
      <c r="E40" s="19" t="str">
        <f aca="false">IF(AND(ISNUMBER(C40),C40&gt;0,ISNUMBER(D40)),D40/C40,"")</f>
        <v/>
      </c>
      <c r="F40" s="18"/>
      <c r="G40" s="18"/>
      <c r="H40" s="19" t="str">
        <f aca="false">IF(AND(ISNUMBER(F40),F40&gt;0,ISNUMBER(G40)),G40/F40,"")</f>
        <v/>
      </c>
      <c r="I40" s="18"/>
      <c r="J40" s="18"/>
      <c r="K40" s="19" t="str">
        <f aca="false">IF(AND(ISNUMBER(I40),I40&gt;0,ISNUMBER(J40)),J40/I40,"")</f>
        <v/>
      </c>
      <c r="L40" s="18"/>
      <c r="M40" s="18"/>
      <c r="N40" s="19" t="str">
        <f aca="false">IF(AND(ISNUMBER(L40),L40&gt;0,ISNUMBER(M40)),M40/L40,"")</f>
        <v/>
      </c>
      <c r="O40" s="20"/>
    </row>
    <row r="41" customFormat="false" ht="18" hidden="false" customHeight="true" outlineLevel="0" collapsed="false">
      <c r="A41" s="21" t="str">
        <f aca="false">IF(A40="","",A40+1)</f>
        <v/>
      </c>
      <c r="B41" s="17" t="str">
        <f aca="false">IF(A41="","",TEXT(A41,"ddd"))</f>
        <v/>
      </c>
      <c r="C41" s="18"/>
      <c r="D41" s="18"/>
      <c r="E41" s="19" t="str">
        <f aca="false">IF(AND(ISNUMBER(C41),C41&gt;0,ISNUMBER(D41)),D41/C41,"")</f>
        <v/>
      </c>
      <c r="F41" s="18"/>
      <c r="G41" s="18"/>
      <c r="H41" s="19" t="str">
        <f aca="false">IF(AND(ISNUMBER(F41),F41&gt;0,ISNUMBER(G41)),G41/F41,"")</f>
        <v/>
      </c>
      <c r="I41" s="18"/>
      <c r="J41" s="18"/>
      <c r="K41" s="19" t="str">
        <f aca="false">IF(AND(ISNUMBER(I41),I41&gt;0,ISNUMBER(J41)),J41/I41,"")</f>
        <v/>
      </c>
      <c r="L41" s="18"/>
      <c r="M41" s="18"/>
      <c r="N41" s="19" t="str">
        <f aca="false">IF(AND(ISNUMBER(L41),L41&gt;0,ISNUMBER(M41)),M41/L41,"")</f>
        <v/>
      </c>
      <c r="O41" s="20"/>
    </row>
    <row r="42" customFormat="false" ht="19.5" hidden="false" customHeight="true" outlineLevel="0" collapsed="false">
      <c r="A42" s="22" t="s">
        <v>22</v>
      </c>
      <c r="B42" s="22"/>
      <c r="C42" s="23" t="n">
        <f aca="false">SUM(C11:C41)</f>
        <v>0</v>
      </c>
      <c r="D42" s="23" t="n">
        <f aca="false">SUM(D11:D41)</f>
        <v>0</v>
      </c>
      <c r="E42" s="24" t="str">
        <f aca="false">IF(C42&gt;0,D42/C42,"")</f>
        <v/>
      </c>
      <c r="F42" s="23" t="n">
        <f aca="false">SUM(F11:F41)</f>
        <v>0</v>
      </c>
      <c r="G42" s="23" t="n">
        <f aca="false">SUM(G11:G41)</f>
        <v>0</v>
      </c>
      <c r="H42" s="24" t="str">
        <f aca="false">IF(F42&gt;0,G42/F42,"")</f>
        <v/>
      </c>
      <c r="I42" s="23" t="n">
        <f aca="false">SUM(I11:I41)</f>
        <v>0</v>
      </c>
      <c r="J42" s="23" t="n">
        <f aca="false">SUM(J11:J41)</f>
        <v>0</v>
      </c>
      <c r="K42" s="24" t="str">
        <f aca="false">IF(I42&gt;0,J42/I42,"")</f>
        <v/>
      </c>
      <c r="L42" s="23" t="n">
        <f aca="false">SUM(L11:L41)</f>
        <v>0</v>
      </c>
      <c r="M42" s="23" t="n">
        <f aca="false">SUM(M11:M41)</f>
        <v>0</v>
      </c>
      <c r="N42" s="24" t="str">
        <f aca="false">IF(L42&gt;0,M42/L42,"")</f>
        <v/>
      </c>
      <c r="O42" s="25"/>
    </row>
  </sheetData>
  <mergeCells count="18">
    <mergeCell ref="A1:M1"/>
    <mergeCell ref="A2:M2"/>
    <mergeCell ref="A3:M3"/>
    <mergeCell ref="A5:B5"/>
    <mergeCell ref="C5:E5"/>
    <mergeCell ref="F5:G5"/>
    <mergeCell ref="H5:J5"/>
    <mergeCell ref="K5:L5"/>
    <mergeCell ref="M5:N5"/>
    <mergeCell ref="A6:O6"/>
    <mergeCell ref="A8:A9"/>
    <mergeCell ref="B8:B9"/>
    <mergeCell ref="C8:E8"/>
    <mergeCell ref="F8:H8"/>
    <mergeCell ref="I8:K8"/>
    <mergeCell ref="L8:N8"/>
    <mergeCell ref="O8:O9"/>
    <mergeCell ref="A42:B42"/>
  </mergeCells>
  <conditionalFormatting sqref="E11:E42">
    <cfRule type="cellIs" priority="2" operator="lessThan" aboveAverage="0" equalAverage="0" bottom="0" percent="0" rank="0" text="" dxfId="0">
      <formula>0.8</formula>
    </cfRule>
    <cfRule type="cellIs" priority="3" operator="greaterThanOrEqual" aboveAverage="0" equalAverage="0" bottom="0" percent="0" rank="0" text="" dxfId="1">
      <formula>1</formula>
    </cfRule>
  </conditionalFormatting>
  <conditionalFormatting sqref="H11:H42">
    <cfRule type="cellIs" priority="4" operator="lessThan" aboveAverage="0" equalAverage="0" bottom="0" percent="0" rank="0" text="" dxfId="0">
      <formula>0.8</formula>
    </cfRule>
    <cfRule type="cellIs" priority="5" operator="greaterThanOrEqual" aboveAverage="0" equalAverage="0" bottom="0" percent="0" rank="0" text="" dxfId="1">
      <formula>1</formula>
    </cfRule>
  </conditionalFormatting>
  <conditionalFormatting sqref="K11:K42">
    <cfRule type="cellIs" priority="6" operator="lessThan" aboveAverage="0" equalAverage="0" bottom="0" percent="0" rank="0" text="" dxfId="0">
      <formula>0.8</formula>
    </cfRule>
    <cfRule type="cellIs" priority="7" operator="greaterThanOrEqual" aboveAverage="0" equalAverage="0" bottom="0" percent="0" rank="0" text="" dxfId="1">
      <formula>1</formula>
    </cfRule>
  </conditionalFormatting>
  <conditionalFormatting sqref="N11:N42">
    <cfRule type="cellIs" priority="8" operator="lessThan" aboveAverage="0" equalAverage="0" bottom="0" percent="0" rank="0" text="" dxfId="0">
      <formula>0.8</formula>
    </cfRule>
    <cfRule type="cellIs" priority="9" operator="greaterThanOrEqual" aboveAverage="0" equalAverage="0" bottom="0" percent="0" rank="0" text="" dxfId="1">
      <formula>1</formula>
    </cfRule>
  </conditionalFormatting>
  <dataValidations count="1">
    <dataValidation allowBlank="true" error="Enter a number (0 or more)." errorStyle="stop" errorTitle="Numbers only" operator="greaterThanOrEqual" showDropDown="false" showErrorMessage="true" showInputMessage="false" sqref="C11:D41 F11:G41 I11:J41 L11:M41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7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&amp;L&amp;"Arial,Regular"&amp;9 Strategic Concepts (I) Pvt Ltd I www.consult4sales.com&amp;R&amp;"Arial,Regular"&amp;9 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13" min="4" style="0" width="9"/>
    <col collapsed="false" customWidth="true" hidden="false" outlineLevel="0" max="15" min="14" style="0" width="11"/>
    <col collapsed="false" customWidth="true" hidden="false" outlineLevel="0" max="16" min="16" style="0" width="10"/>
    <col collapsed="false" customWidth="true" hidden="false" outlineLevel="0" max="17" min="17" style="0" width="32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customFormat="false" ht="24" hidden="false" customHeight="true" outlineLevel="0" collapsed="false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r="3" customFormat="false" ht="24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  <c r="Q3" s="2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9.5" hidden="false" customHeight="true" outlineLevel="0" collapsed="false">
      <c r="A5" s="6" t="s">
        <v>3</v>
      </c>
      <c r="B5" s="6"/>
      <c r="C5" s="7"/>
      <c r="D5" s="7"/>
      <c r="E5" s="7"/>
      <c r="F5" s="6" t="s">
        <v>4</v>
      </c>
      <c r="G5" s="6"/>
      <c r="H5" s="6"/>
      <c r="I5" s="7"/>
      <c r="J5" s="7"/>
      <c r="K5" s="7"/>
      <c r="L5" s="6" t="s">
        <v>5</v>
      </c>
      <c r="M5" s="6"/>
      <c r="N5" s="7"/>
      <c r="O5" s="7"/>
    </row>
    <row r="6" customFormat="false" ht="30" hidden="false" customHeight="true" outlineLevel="0" collapsed="false">
      <c r="A6" s="8" t="s">
        <v>25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customFormat="false" ht="6" hidden="false" customHeight="true" outlineLevel="0" collapsed="false"/>
    <row r="8" customFormat="false" ht="21.75" hidden="false" customHeight="true" outlineLevel="0" collapsed="false">
      <c r="A8" s="9" t="s">
        <v>26</v>
      </c>
      <c r="B8" s="9" t="s">
        <v>27</v>
      </c>
      <c r="C8" s="9" t="s">
        <v>28</v>
      </c>
      <c r="D8" s="10" t="s">
        <v>29</v>
      </c>
      <c r="E8" s="10"/>
      <c r="F8" s="10" t="s">
        <v>30</v>
      </c>
      <c r="G8" s="10"/>
      <c r="H8" s="10" t="s">
        <v>31</v>
      </c>
      <c r="I8" s="10"/>
      <c r="J8" s="10" t="s">
        <v>32</v>
      </c>
      <c r="K8" s="10"/>
      <c r="L8" s="10" t="s">
        <v>33</v>
      </c>
      <c r="M8" s="10"/>
      <c r="N8" s="9" t="s">
        <v>34</v>
      </c>
      <c r="O8" s="9" t="s">
        <v>35</v>
      </c>
      <c r="P8" s="9" t="s">
        <v>16</v>
      </c>
      <c r="Q8" s="9" t="s">
        <v>36</v>
      </c>
    </row>
    <row r="9" customFormat="false" ht="19.5" hidden="false" customHeight="true" outlineLevel="0" collapsed="false">
      <c r="A9" s="9"/>
      <c r="B9" s="9"/>
      <c r="C9" s="9"/>
      <c r="D9" s="26"/>
      <c r="E9" s="26"/>
      <c r="F9" s="26"/>
      <c r="G9" s="26"/>
      <c r="H9" s="26"/>
      <c r="I9" s="26"/>
      <c r="J9" s="26"/>
      <c r="K9" s="26"/>
      <c r="L9" s="26"/>
      <c r="M9" s="26"/>
      <c r="N9" s="9"/>
      <c r="O9" s="9"/>
      <c r="P9" s="9"/>
      <c r="Q9" s="9"/>
    </row>
    <row r="10" customFormat="false" ht="19.5" hidden="false" customHeight="true" outlineLevel="0" collapsed="false">
      <c r="A10" s="9"/>
      <c r="B10" s="9"/>
      <c r="C10" s="9"/>
      <c r="D10" s="11" t="s">
        <v>37</v>
      </c>
      <c r="E10" s="11" t="s">
        <v>38</v>
      </c>
      <c r="F10" s="11" t="s">
        <v>37</v>
      </c>
      <c r="G10" s="11" t="s">
        <v>38</v>
      </c>
      <c r="H10" s="11" t="s">
        <v>37</v>
      </c>
      <c r="I10" s="11" t="s">
        <v>38</v>
      </c>
      <c r="J10" s="11" t="s">
        <v>37</v>
      </c>
      <c r="K10" s="11" t="s">
        <v>38</v>
      </c>
      <c r="L10" s="11" t="s">
        <v>37</v>
      </c>
      <c r="M10" s="11" t="s">
        <v>38</v>
      </c>
      <c r="N10" s="9"/>
      <c r="O10" s="9"/>
      <c r="P10" s="9"/>
      <c r="Q10" s="9"/>
    </row>
    <row r="11" customFormat="false" ht="33.75" hidden="false" customHeight="true" outlineLevel="0" collapsed="false">
      <c r="A11" s="27" t="n">
        <v>1</v>
      </c>
      <c r="B11" s="28" t="s">
        <v>39</v>
      </c>
      <c r="C11" s="29" t="s">
        <v>40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30" t="n">
        <f aca="false">SUM(D11,F11,H11,J11,L11)</f>
        <v>0</v>
      </c>
      <c r="O11" s="30" t="n">
        <f aca="false">SUM(E11,G11,I11,K11,M11)</f>
        <v>0</v>
      </c>
      <c r="P11" s="31" t="str">
        <f aca="false">IF(N11&gt;0,O11/N11,"")</f>
        <v/>
      </c>
      <c r="Q11" s="20"/>
    </row>
    <row r="12" customFormat="false" ht="33.75" hidden="false" customHeight="true" outlineLevel="0" collapsed="false">
      <c r="A12" s="27" t="n">
        <v>2</v>
      </c>
      <c r="B12" s="28" t="s">
        <v>41</v>
      </c>
      <c r="C12" s="29" t="s">
        <v>42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30" t="n">
        <f aca="false">SUM(D12,F12,H12,J12,L12)</f>
        <v>0</v>
      </c>
      <c r="O12" s="30" t="n">
        <f aca="false">SUM(E12,G12,I12,K12,M12)</f>
        <v>0</v>
      </c>
      <c r="P12" s="31" t="str">
        <f aca="false">IF(N12&gt;0,O12/N12,"")</f>
        <v/>
      </c>
      <c r="Q12" s="20"/>
    </row>
    <row r="13" customFormat="false" ht="33.75" hidden="false" customHeight="true" outlineLevel="0" collapsed="false">
      <c r="A13" s="27" t="n">
        <v>3</v>
      </c>
      <c r="B13" s="28" t="s">
        <v>43</v>
      </c>
      <c r="C13" s="29" t="s">
        <v>44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30" t="n">
        <f aca="false">SUM(D13,F13,H13,J13,L13)</f>
        <v>0</v>
      </c>
      <c r="O13" s="30" t="n">
        <f aca="false">SUM(E13,G13,I13,K13,M13)</f>
        <v>0</v>
      </c>
      <c r="P13" s="31" t="str">
        <f aca="false">IF(N13&gt;0,O13/N13,"")</f>
        <v/>
      </c>
      <c r="Q13" s="20"/>
    </row>
    <row r="14" customFormat="false" ht="6" hidden="false" customHeight="true" outlineLevel="0" collapsed="false"/>
    <row r="15" customFormat="false" ht="25.5" hidden="false" customHeight="true" outlineLevel="0" collapsed="false">
      <c r="A15" s="8" t="s">
        <v>45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customFormat="false" ht="6" hidden="false" customHeight="true" outlineLevel="0" collapsed="false"/>
    <row r="17" customFormat="false" ht="21.75" hidden="false" customHeight="true" outlineLevel="0" collapsed="false">
      <c r="A17" s="10" t="s">
        <v>46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customFormat="false" ht="36" hidden="false" customHeight="true" outlineLevel="0" collapsed="false">
      <c r="A18" s="6" t="s">
        <v>47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customFormat="false" ht="36" hidden="false" customHeight="true" outlineLevel="0" collapsed="false">
      <c r="A19" s="6" t="s">
        <v>48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customFormat="false" ht="36" hidden="false" customHeight="true" outlineLevel="0" collapsed="false">
      <c r="A20" s="6" t="s">
        <v>49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customFormat="false" ht="36" hidden="false" customHeight="true" outlineLevel="0" collapsed="false">
      <c r="A21" s="6" t="s">
        <v>50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customFormat="false" ht="36" hidden="false" customHeight="true" outlineLevel="0" collapsed="false">
      <c r="A22" s="6" t="s">
        <v>51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</sheetData>
  <mergeCells count="39">
    <mergeCell ref="A1:O1"/>
    <mergeCell ref="A2:O2"/>
    <mergeCell ref="A3:O3"/>
    <mergeCell ref="A5:B5"/>
    <mergeCell ref="C5:E5"/>
    <mergeCell ref="F5:H5"/>
    <mergeCell ref="I5:K5"/>
    <mergeCell ref="L5:M5"/>
    <mergeCell ref="N5:O5"/>
    <mergeCell ref="A6:Q6"/>
    <mergeCell ref="A8:A10"/>
    <mergeCell ref="B8:B10"/>
    <mergeCell ref="C8:C10"/>
    <mergeCell ref="D8:E8"/>
    <mergeCell ref="F8:G8"/>
    <mergeCell ref="H8:I8"/>
    <mergeCell ref="J8:K8"/>
    <mergeCell ref="L8:M8"/>
    <mergeCell ref="N8:N10"/>
    <mergeCell ref="O8:O10"/>
    <mergeCell ref="P8:P10"/>
    <mergeCell ref="Q8:Q10"/>
    <mergeCell ref="D9:E9"/>
    <mergeCell ref="F9:G9"/>
    <mergeCell ref="H9:I9"/>
    <mergeCell ref="J9:K9"/>
    <mergeCell ref="L9:M9"/>
    <mergeCell ref="A15:Q15"/>
    <mergeCell ref="A17:Q17"/>
    <mergeCell ref="A18:B18"/>
    <mergeCell ref="C18:Q18"/>
    <mergeCell ref="A19:B19"/>
    <mergeCell ref="C19:Q19"/>
    <mergeCell ref="A20:B20"/>
    <mergeCell ref="C20:Q20"/>
    <mergeCell ref="A21:B21"/>
    <mergeCell ref="C21:Q21"/>
    <mergeCell ref="A22:B22"/>
    <mergeCell ref="C22:Q22"/>
  </mergeCells>
  <conditionalFormatting sqref="P11:P13">
    <cfRule type="cellIs" priority="2" operator="lessThan" aboveAverage="0" equalAverage="0" bottom="0" percent="0" rank="0" text="" dxfId="0">
      <formula>0.8</formula>
    </cfRule>
    <cfRule type="cellIs" priority="3" operator="greaterThanOrEqual" aboveAverage="0" equalAverage="0" bottom="0" percent="0" rank="0" text="" dxfId="1">
      <formula>1</formula>
    </cfRule>
  </conditionalFormatting>
  <dataValidations count="1">
    <dataValidation allowBlank="true" error="Enter a number (0 or more)." errorStyle="stop" errorTitle="Numbers only" operator="greaterThanOrEqual" showDropDown="false" showErrorMessage="true" showInputMessage="false" sqref="D11:M1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7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&amp;L&amp;"Arial,Regular"&amp;9 Strategic Concepts (I) Pvt Ltd I www.consult4sales.com&amp;R&amp;"Arial,Regular"&amp;9 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" t="s">
        <v>52</v>
      </c>
      <c r="B1" s="1"/>
      <c r="C1" s="1"/>
      <c r="D1" s="1"/>
      <c r="E1" s="1"/>
      <c r="F1" s="2"/>
      <c r="G1" s="2"/>
    </row>
    <row r="2" customFormat="false" ht="24" hidden="false" customHeight="true" outlineLevel="0" collapsed="false">
      <c r="A2" s="3" t="s">
        <v>53</v>
      </c>
      <c r="B2" s="3"/>
      <c r="C2" s="3"/>
      <c r="D2" s="3"/>
      <c r="E2" s="3"/>
      <c r="F2" s="2"/>
      <c r="G2" s="2"/>
    </row>
    <row r="3" customFormat="false" ht="24" hidden="false" customHeight="true" outlineLevel="0" collapsed="false">
      <c r="A3" s="4" t="s">
        <v>2</v>
      </c>
      <c r="B3" s="4"/>
      <c r="C3" s="4"/>
      <c r="D3" s="4"/>
      <c r="E3" s="4"/>
      <c r="F3" s="2"/>
      <c r="G3" s="2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19.5" hidden="false" customHeight="true" outlineLevel="0" collapsed="false">
      <c r="A5" s="6" t="s">
        <v>54</v>
      </c>
      <c r="B5" s="6"/>
      <c r="C5" s="7"/>
      <c r="D5" s="7"/>
      <c r="E5" s="32" t="s">
        <v>5</v>
      </c>
      <c r="F5" s="33"/>
      <c r="G5" s="33"/>
    </row>
    <row r="6" customFormat="false" ht="19.5" hidden="false" customHeight="true" outlineLevel="0" collapsed="false">
      <c r="A6" s="6" t="s">
        <v>55</v>
      </c>
      <c r="B6" s="6"/>
      <c r="C6" s="7"/>
      <c r="D6" s="7"/>
      <c r="E6" s="32" t="s">
        <v>56</v>
      </c>
      <c r="F6" s="34"/>
      <c r="G6" s="34"/>
    </row>
    <row r="7" customFormat="false" ht="27.75" hidden="false" customHeight="true" outlineLevel="0" collapsed="false">
      <c r="A7" s="8" t="s">
        <v>57</v>
      </c>
      <c r="B7" s="8"/>
      <c r="C7" s="8"/>
      <c r="D7" s="8"/>
      <c r="E7" s="8"/>
      <c r="F7" s="8"/>
      <c r="G7" s="8"/>
    </row>
    <row r="8" customFormat="false" ht="7.5" hidden="false" customHeight="true" outlineLevel="0" collapsed="false"/>
    <row r="9" customFormat="false" ht="21.75" hidden="false" customHeight="true" outlineLevel="0" collapsed="false">
      <c r="A9" s="35" t="s">
        <v>58</v>
      </c>
      <c r="B9" s="35"/>
      <c r="C9" s="35"/>
      <c r="D9" s="35"/>
      <c r="E9" s="35"/>
      <c r="F9" s="35"/>
      <c r="G9" s="35"/>
    </row>
    <row r="10" customFormat="false" ht="30" hidden="false" customHeight="true" outlineLevel="0" collapsed="false">
      <c r="A10" s="11" t="s">
        <v>26</v>
      </c>
      <c r="B10" s="11" t="s">
        <v>59</v>
      </c>
      <c r="C10" s="11" t="s">
        <v>37</v>
      </c>
      <c r="D10" s="11" t="s">
        <v>38</v>
      </c>
      <c r="E10" s="11" t="s">
        <v>16</v>
      </c>
      <c r="F10" s="11" t="s">
        <v>60</v>
      </c>
      <c r="G10" s="11" t="s">
        <v>36</v>
      </c>
    </row>
    <row r="11" customFormat="false" ht="21.75" hidden="false" customHeight="true" outlineLevel="0" collapsed="false">
      <c r="A11" s="27" t="n">
        <v>1</v>
      </c>
      <c r="B11" s="28" t="s">
        <v>61</v>
      </c>
      <c r="C11" s="18"/>
      <c r="D11" s="18"/>
      <c r="E11" s="31" t="str">
        <f aca="false">IF(AND(ISNUMBER(C11),C11&gt;0,ISNUMBER(D11)),D11/C11,"")</f>
        <v/>
      </c>
      <c r="F11" s="36" t="str">
        <f aca="false">IF(AND(ISNUMBER(C11),ISNUMBER(D11)),D11-C11,"")</f>
        <v/>
      </c>
      <c r="G11" s="20"/>
    </row>
    <row r="12" customFormat="false" ht="21.75" hidden="false" customHeight="true" outlineLevel="0" collapsed="false">
      <c r="A12" s="27" t="n">
        <v>2</v>
      </c>
      <c r="B12" s="28" t="s">
        <v>62</v>
      </c>
      <c r="C12" s="18"/>
      <c r="D12" s="18"/>
      <c r="E12" s="31" t="str">
        <f aca="false">IF(AND(ISNUMBER(C12),C12&gt;0,ISNUMBER(D12)),D12/C12,"")</f>
        <v/>
      </c>
      <c r="F12" s="36" t="str">
        <f aca="false">IF(AND(ISNUMBER(C12),ISNUMBER(D12)),D12-C12,"")</f>
        <v/>
      </c>
      <c r="G12" s="20"/>
    </row>
    <row r="13" customFormat="false" ht="21.75" hidden="false" customHeight="true" outlineLevel="0" collapsed="false">
      <c r="A13" s="27" t="n">
        <v>3</v>
      </c>
      <c r="B13" s="28" t="s">
        <v>63</v>
      </c>
      <c r="C13" s="18"/>
      <c r="D13" s="18"/>
      <c r="E13" s="31" t="str">
        <f aca="false">IF(AND(ISNUMBER(C13),C13&gt;0,ISNUMBER(D13)),D13/C13,"")</f>
        <v/>
      </c>
      <c r="F13" s="36" t="str">
        <f aca="false">IF(AND(ISNUMBER(C13),ISNUMBER(D13)),D13-C13,"")</f>
        <v/>
      </c>
      <c r="G13" s="20"/>
    </row>
    <row r="14" customFormat="false" ht="24" hidden="false" customHeight="true" outlineLevel="0" collapsed="false">
      <c r="A14" s="37" t="s">
        <v>64</v>
      </c>
      <c r="B14" s="37"/>
      <c r="C14" s="37"/>
      <c r="D14" s="37"/>
      <c r="E14" s="37"/>
      <c r="F14" s="37"/>
      <c r="G14" s="37"/>
    </row>
    <row r="16" customFormat="false" ht="21.75" hidden="false" customHeight="true" outlineLevel="0" collapsed="false">
      <c r="A16" s="35" t="s">
        <v>65</v>
      </c>
      <c r="B16" s="35"/>
      <c r="C16" s="35"/>
      <c r="D16" s="35"/>
      <c r="E16" s="35"/>
      <c r="F16" s="35"/>
      <c r="G16" s="35"/>
    </row>
    <row r="17" customFormat="false" ht="30" hidden="false" customHeight="true" outlineLevel="0" collapsed="false">
      <c r="A17" s="11" t="s">
        <v>26</v>
      </c>
      <c r="B17" s="11" t="s">
        <v>59</v>
      </c>
      <c r="C17" s="11" t="s">
        <v>37</v>
      </c>
      <c r="D17" s="11" t="s">
        <v>38</v>
      </c>
      <c r="E17" s="11" t="s">
        <v>16</v>
      </c>
      <c r="F17" s="11" t="s">
        <v>60</v>
      </c>
      <c r="G17" s="11" t="s">
        <v>36</v>
      </c>
    </row>
    <row r="18" customFormat="false" ht="21.75" hidden="false" customHeight="true" outlineLevel="0" collapsed="false">
      <c r="A18" s="27" t="n">
        <v>1</v>
      </c>
      <c r="B18" s="28" t="s">
        <v>66</v>
      </c>
      <c r="C18" s="18"/>
      <c r="D18" s="18"/>
      <c r="E18" s="19" t="str">
        <f aca="false">IF(AND(ISNUMBER(C18),C18&gt;0,ISNUMBER(D18)),D18/C18,"")</f>
        <v/>
      </c>
      <c r="F18" s="36" t="str">
        <f aca="false">IF(AND(ISNUMBER(C18),ISNUMBER(D18)),D18-C18,"")</f>
        <v/>
      </c>
      <c r="G18" s="20"/>
    </row>
    <row r="19" customFormat="false" ht="21.75" hidden="false" customHeight="true" outlineLevel="0" collapsed="false">
      <c r="A19" s="27" t="n">
        <v>2</v>
      </c>
      <c r="B19" s="28" t="s">
        <v>67</v>
      </c>
      <c r="C19" s="38"/>
      <c r="D19" s="38"/>
      <c r="E19" s="39"/>
      <c r="F19" s="39"/>
      <c r="G19" s="20"/>
    </row>
    <row r="20" customFormat="false" ht="21.75" hidden="false" customHeight="true" outlineLevel="0" collapsed="false">
      <c r="A20" s="27" t="n">
        <v>3</v>
      </c>
      <c r="B20" s="28" t="s">
        <v>68</v>
      </c>
      <c r="C20" s="40" t="str">
        <f aca="false">IF(AND(ISNUMBER(C18),ISNUMBER(C19),C19&gt;0),C18/C19,"")</f>
        <v/>
      </c>
      <c r="D20" s="40" t="str">
        <f aca="false">IF(AND(ISNUMBER(D18),ISNUMBER(C19),C19&gt;0),D18/C19,"")</f>
        <v/>
      </c>
      <c r="E20" s="31" t="str">
        <f aca="false">IF(AND(ISNUMBER(C20),C20&gt;0,ISNUMBER(D20)),D20/C20,"")</f>
        <v/>
      </c>
      <c r="F20" s="41" t="str">
        <f aca="false">IF(AND(ISNUMBER(C20),ISNUMBER(D20)),D20-C20,"")</f>
        <v/>
      </c>
      <c r="G20" s="20"/>
    </row>
    <row r="22" customFormat="false" ht="21.75" hidden="false" customHeight="true" outlineLevel="0" collapsed="false">
      <c r="A22" s="35" t="s">
        <v>69</v>
      </c>
      <c r="B22" s="35"/>
      <c r="C22" s="35"/>
      <c r="D22" s="35"/>
      <c r="E22" s="35"/>
      <c r="F22" s="35"/>
      <c r="G22" s="35"/>
    </row>
    <row r="23" customFormat="false" ht="30" hidden="false" customHeight="true" outlineLevel="0" collapsed="false">
      <c r="A23" s="11" t="s">
        <v>70</v>
      </c>
      <c r="B23" s="11" t="s">
        <v>71</v>
      </c>
      <c r="C23" s="11" t="s">
        <v>72</v>
      </c>
      <c r="D23" s="11" t="s">
        <v>73</v>
      </c>
      <c r="E23" s="11" t="s">
        <v>74</v>
      </c>
      <c r="F23" s="42" t="s">
        <v>36</v>
      </c>
      <c r="G23" s="42"/>
    </row>
    <row r="24" customFormat="false" ht="21.75" hidden="false" customHeight="true" outlineLevel="0" collapsed="false">
      <c r="A24" s="27" t="n">
        <v>1</v>
      </c>
      <c r="B24" s="28" t="s">
        <v>75</v>
      </c>
      <c r="C24" s="18"/>
      <c r="D24" s="19" t="str">
        <f aca="false">IF(AND(ISNUMBER(C24),$C$29&gt;0),C24/$C$29,"")</f>
        <v/>
      </c>
      <c r="E24" s="17" t="str">
        <f aca="false">IF(AND(ISNUMBER(C24),$C$29&gt;0),RANK(C24,$C$24:$C$28),"")</f>
        <v/>
      </c>
      <c r="F24" s="7"/>
      <c r="G24" s="7"/>
    </row>
    <row r="25" customFormat="false" ht="21.75" hidden="false" customHeight="true" outlineLevel="0" collapsed="false">
      <c r="A25" s="27" t="n">
        <v>2</v>
      </c>
      <c r="B25" s="28" t="s">
        <v>76</v>
      </c>
      <c r="C25" s="18"/>
      <c r="D25" s="19" t="str">
        <f aca="false">IF(AND(ISNUMBER(C25),$C$29&gt;0),C25/$C$29,"")</f>
        <v/>
      </c>
      <c r="E25" s="17" t="str">
        <f aca="false">IF(AND(ISNUMBER(C25),$C$29&gt;0),RANK(C25,$C$24:$C$28),"")</f>
        <v/>
      </c>
      <c r="F25" s="7"/>
      <c r="G25" s="7"/>
    </row>
    <row r="26" customFormat="false" ht="21.75" hidden="false" customHeight="true" outlineLevel="0" collapsed="false">
      <c r="A26" s="27" t="n">
        <v>3</v>
      </c>
      <c r="B26" s="28" t="s">
        <v>77</v>
      </c>
      <c r="C26" s="18"/>
      <c r="D26" s="19" t="str">
        <f aca="false">IF(AND(ISNUMBER(C26),$C$29&gt;0),C26/$C$29,"")</f>
        <v/>
      </c>
      <c r="E26" s="17" t="str">
        <f aca="false">IF(AND(ISNUMBER(C26),$C$29&gt;0),RANK(C26,$C$24:$C$28),"")</f>
        <v/>
      </c>
      <c r="F26" s="7"/>
      <c r="G26" s="7"/>
    </row>
    <row r="27" customFormat="false" ht="21.75" hidden="false" customHeight="true" outlineLevel="0" collapsed="false">
      <c r="A27" s="27" t="n">
        <v>4</v>
      </c>
      <c r="B27" s="28" t="s">
        <v>78</v>
      </c>
      <c r="C27" s="18"/>
      <c r="D27" s="19" t="str">
        <f aca="false">IF(AND(ISNUMBER(C27),$C$29&gt;0),C27/$C$29,"")</f>
        <v/>
      </c>
      <c r="E27" s="17" t="str">
        <f aca="false">IF(AND(ISNUMBER(C27),$C$29&gt;0),RANK(C27,$C$24:$C$28),"")</f>
        <v/>
      </c>
      <c r="F27" s="7"/>
      <c r="G27" s="7"/>
    </row>
    <row r="28" customFormat="false" ht="21.75" hidden="false" customHeight="true" outlineLevel="0" collapsed="false">
      <c r="A28" s="27" t="n">
        <v>5</v>
      </c>
      <c r="B28" s="28" t="s">
        <v>79</v>
      </c>
      <c r="C28" s="18"/>
      <c r="D28" s="19" t="str">
        <f aca="false">IF(AND(ISNUMBER(C28),$C$29&gt;0),C28/$C$29,"")</f>
        <v/>
      </c>
      <c r="E28" s="17" t="str">
        <f aca="false">IF(AND(ISNUMBER(C28),$C$29&gt;0),RANK(C28,$C$24:$C$28),"")</f>
        <v/>
      </c>
      <c r="F28" s="7"/>
      <c r="G28" s="7"/>
    </row>
    <row r="29" customFormat="false" ht="21.75" hidden="false" customHeight="true" outlineLevel="0" collapsed="false">
      <c r="A29" s="22" t="s">
        <v>80</v>
      </c>
      <c r="B29" s="22"/>
      <c r="C29" s="23" t="n">
        <f aca="false">SUM(C24:C28)</f>
        <v>0</v>
      </c>
      <c r="D29" s="24" t="str">
        <f aca="false">IF(C29&gt;0,1,"")</f>
        <v/>
      </c>
      <c r="E29" s="25"/>
      <c r="F29" s="43"/>
      <c r="G29" s="43"/>
    </row>
    <row r="30" customFormat="false" ht="21.75" hidden="false" customHeight="true" outlineLevel="0" collapsed="false">
      <c r="A30" s="22" t="s">
        <v>81</v>
      </c>
      <c r="B30" s="22"/>
      <c r="C30" s="44" t="str">
        <f aca="false">IF(C29&gt;0,INDEX(B24:B28,MATCH(MAX(C24:C28),C24:C28,0)),"")</f>
        <v/>
      </c>
      <c r="D30" s="44"/>
      <c r="E30" s="44"/>
      <c r="F30" s="44"/>
      <c r="G30" s="44"/>
    </row>
    <row r="32" customFormat="false" ht="21.75" hidden="false" customHeight="true" outlineLevel="0" collapsed="false">
      <c r="A32" s="35" t="s">
        <v>82</v>
      </c>
      <c r="B32" s="35"/>
      <c r="C32" s="35"/>
      <c r="D32" s="35"/>
      <c r="E32" s="35"/>
      <c r="F32" s="35"/>
      <c r="G32" s="35"/>
    </row>
    <row r="33" customFormat="false" ht="30" hidden="false" customHeight="true" outlineLevel="0" collapsed="false">
      <c r="A33" s="11" t="s">
        <v>26</v>
      </c>
      <c r="B33" s="11" t="s">
        <v>59</v>
      </c>
      <c r="C33" s="11" t="s">
        <v>83</v>
      </c>
      <c r="D33" s="42" t="s">
        <v>84</v>
      </c>
      <c r="E33" s="42"/>
      <c r="F33" s="42"/>
      <c r="G33" s="42"/>
    </row>
    <row r="34" customFormat="false" ht="25.5" hidden="false" customHeight="true" outlineLevel="0" collapsed="false">
      <c r="A34" s="27" t="n">
        <v>1</v>
      </c>
      <c r="B34" s="28" t="s">
        <v>85</v>
      </c>
      <c r="C34" s="18"/>
      <c r="D34" s="7"/>
      <c r="E34" s="7"/>
      <c r="F34" s="7"/>
      <c r="G34" s="7"/>
    </row>
    <row r="35" customFormat="false" ht="25.5" hidden="false" customHeight="true" outlineLevel="0" collapsed="false">
      <c r="A35" s="27" t="n">
        <v>2</v>
      </c>
      <c r="B35" s="28" t="s">
        <v>86</v>
      </c>
      <c r="C35" s="18"/>
      <c r="D35" s="7"/>
      <c r="E35" s="7"/>
      <c r="F35" s="7"/>
      <c r="G35" s="7"/>
    </row>
    <row r="36" customFormat="false" ht="25.5" hidden="false" customHeight="true" outlineLevel="0" collapsed="false">
      <c r="A36" s="27" t="n">
        <v>3</v>
      </c>
      <c r="B36" s="28" t="s">
        <v>87</v>
      </c>
      <c r="C36" s="18"/>
      <c r="D36" s="7"/>
      <c r="E36" s="7"/>
      <c r="F36" s="7"/>
      <c r="G36" s="7"/>
    </row>
    <row r="38" customFormat="false" ht="21.75" hidden="false" customHeight="true" outlineLevel="0" collapsed="false">
      <c r="A38" s="35" t="s">
        <v>88</v>
      </c>
      <c r="B38" s="35"/>
      <c r="C38" s="35"/>
      <c r="D38" s="35"/>
      <c r="E38" s="35"/>
      <c r="F38" s="35"/>
      <c r="G38" s="35"/>
    </row>
    <row r="39" customFormat="false" ht="30" hidden="false" customHeight="true" outlineLevel="0" collapsed="false">
      <c r="A39" s="11" t="s">
        <v>26</v>
      </c>
      <c r="B39" s="11" t="s">
        <v>59</v>
      </c>
      <c r="C39" s="11" t="s">
        <v>38</v>
      </c>
      <c r="D39" s="11" t="s">
        <v>37</v>
      </c>
      <c r="E39" s="11" t="s">
        <v>16</v>
      </c>
      <c r="F39" s="42" t="s">
        <v>36</v>
      </c>
      <c r="G39" s="42"/>
    </row>
    <row r="40" customFormat="false" ht="24" hidden="false" customHeight="true" outlineLevel="0" collapsed="false">
      <c r="A40" s="27" t="n">
        <v>1</v>
      </c>
      <c r="B40" s="28" t="s">
        <v>89</v>
      </c>
      <c r="C40" s="18"/>
      <c r="D40" s="18"/>
      <c r="E40" s="31" t="str">
        <f aca="false">IF(AND(ISNUMBER(D40),D40&gt;0,ISNUMBER(C40)),C40/D40,"")</f>
        <v/>
      </c>
      <c r="F40" s="7"/>
      <c r="G40" s="7"/>
    </row>
    <row r="41" customFormat="false" ht="24" hidden="false" customHeight="true" outlineLevel="0" collapsed="false">
      <c r="A41" s="27" t="n">
        <v>2</v>
      </c>
      <c r="B41" s="28" t="s">
        <v>90</v>
      </c>
      <c r="C41" s="18"/>
      <c r="D41" s="18"/>
      <c r="E41" s="31" t="str">
        <f aca="false">IF(AND(ISNUMBER(D41),D41&gt;0,ISNUMBER(C41)),C41/D41,"")</f>
        <v/>
      </c>
      <c r="F41" s="7"/>
      <c r="G41" s="7"/>
    </row>
    <row r="43" customFormat="false" ht="21.75" hidden="false" customHeight="true" outlineLevel="0" collapsed="false">
      <c r="A43" s="35" t="s">
        <v>91</v>
      </c>
      <c r="B43" s="35"/>
      <c r="C43" s="35"/>
      <c r="D43" s="35"/>
      <c r="E43" s="35"/>
      <c r="F43" s="35"/>
      <c r="G43" s="35"/>
    </row>
    <row r="44" customFormat="false" ht="30" hidden="false" customHeight="true" outlineLevel="0" collapsed="false">
      <c r="A44" s="11" t="s">
        <v>26</v>
      </c>
      <c r="B44" s="11" t="s">
        <v>92</v>
      </c>
      <c r="C44" s="11" t="s">
        <v>93</v>
      </c>
      <c r="D44" s="11" t="s">
        <v>94</v>
      </c>
      <c r="E44" s="11" t="s">
        <v>95</v>
      </c>
      <c r="F44" s="42" t="s">
        <v>36</v>
      </c>
      <c r="G44" s="42"/>
    </row>
    <row r="45" customFormat="false" ht="24" hidden="false" customHeight="true" outlineLevel="0" collapsed="false">
      <c r="A45" s="27" t="n">
        <v>1</v>
      </c>
      <c r="B45" s="28" t="s">
        <v>96</v>
      </c>
      <c r="C45" s="18"/>
      <c r="D45" s="19" t="str">
        <f aca="false">IF(AND(ISNUMBER(C45),$C$48&gt;0),C45/$C$48,"")</f>
        <v/>
      </c>
      <c r="E45" s="17" t="s">
        <v>20</v>
      </c>
      <c r="F45" s="7"/>
      <c r="G45" s="7"/>
    </row>
    <row r="46" customFormat="false" ht="24" hidden="false" customHeight="true" outlineLevel="0" collapsed="false">
      <c r="A46" s="27" t="n">
        <v>2</v>
      </c>
      <c r="B46" s="28" t="s">
        <v>97</v>
      </c>
      <c r="C46" s="18"/>
      <c r="D46" s="19" t="str">
        <f aca="false">IF(AND(ISNUMBER(C46),$C$48&gt;0),C46/$C$48,"")</f>
        <v/>
      </c>
      <c r="E46" s="19" t="str">
        <f aca="false">IF(AND(ISNUMBER(C46),ISNUMBER(C45),C45&gt;0),C46/C45,"")</f>
        <v/>
      </c>
      <c r="F46" s="7"/>
      <c r="G46" s="7"/>
    </row>
    <row r="47" customFormat="false" ht="24" hidden="false" customHeight="true" outlineLevel="0" collapsed="false">
      <c r="A47" s="27" t="n">
        <v>3</v>
      </c>
      <c r="B47" s="28" t="s">
        <v>98</v>
      </c>
      <c r="C47" s="18"/>
      <c r="D47" s="19" t="str">
        <f aca="false">IF(AND(ISNUMBER(C47),$C$48&gt;0),C47/$C$48,"")</f>
        <v/>
      </c>
      <c r="E47" s="19" t="str">
        <f aca="false">IF(AND(ISNUMBER(C47),ISNUMBER(C46),C46&gt;0),C47/C46,"")</f>
        <v/>
      </c>
      <c r="F47" s="7"/>
      <c r="G47" s="7"/>
    </row>
    <row r="48" customFormat="false" ht="21.75" hidden="false" customHeight="true" outlineLevel="0" collapsed="false">
      <c r="A48" s="22" t="s">
        <v>99</v>
      </c>
      <c r="B48" s="22"/>
      <c r="C48" s="23" t="n">
        <f aca="false">SUM(C45:C47)</f>
        <v>0</v>
      </c>
      <c r="D48" s="24" t="str">
        <f aca="false">IF(C48&gt;0,1,"")</f>
        <v/>
      </c>
      <c r="E48" s="25"/>
      <c r="F48" s="43"/>
      <c r="G48" s="43"/>
    </row>
    <row r="50" customFormat="false" ht="21.75" hidden="false" customHeight="true" outlineLevel="0" collapsed="false">
      <c r="A50" s="35" t="s">
        <v>100</v>
      </c>
      <c r="B50" s="35"/>
      <c r="C50" s="35"/>
      <c r="D50" s="35"/>
      <c r="E50" s="35"/>
      <c r="F50" s="35"/>
      <c r="G50" s="35"/>
    </row>
    <row r="51" customFormat="false" ht="30" hidden="false" customHeight="true" outlineLevel="0" collapsed="false">
      <c r="A51" s="11" t="s">
        <v>26</v>
      </c>
      <c r="B51" s="11" t="s">
        <v>101</v>
      </c>
      <c r="C51" s="42" t="s">
        <v>102</v>
      </c>
      <c r="D51" s="42"/>
      <c r="E51" s="42"/>
      <c r="F51" s="42"/>
      <c r="G51" s="11" t="s">
        <v>103</v>
      </c>
    </row>
    <row r="52" customFormat="false" ht="33.75" hidden="false" customHeight="true" outlineLevel="0" collapsed="false">
      <c r="A52" s="27" t="n">
        <v>1</v>
      </c>
      <c r="B52" s="28" t="s">
        <v>104</v>
      </c>
      <c r="C52" s="45"/>
      <c r="D52" s="45"/>
      <c r="E52" s="45"/>
      <c r="F52" s="45"/>
      <c r="G52" s="46"/>
    </row>
    <row r="53" customFormat="false" ht="33.75" hidden="false" customHeight="true" outlineLevel="0" collapsed="false">
      <c r="A53" s="27" t="n">
        <v>2</v>
      </c>
      <c r="B53" s="28" t="s">
        <v>105</v>
      </c>
      <c r="C53" s="45"/>
      <c r="D53" s="45"/>
      <c r="E53" s="45"/>
      <c r="F53" s="45"/>
      <c r="G53" s="46"/>
    </row>
    <row r="54" customFormat="false" ht="63.75" hidden="false" customHeight="true" outlineLevel="0" collapsed="false">
      <c r="A54" s="27" t="n">
        <v>3</v>
      </c>
      <c r="B54" s="28" t="s">
        <v>106</v>
      </c>
      <c r="C54" s="45" t="s">
        <v>107</v>
      </c>
      <c r="D54" s="45"/>
      <c r="E54" s="45"/>
      <c r="F54" s="45"/>
      <c r="G54" s="46"/>
    </row>
    <row r="55" customFormat="false" ht="63.75" hidden="false" customHeight="true" outlineLevel="0" collapsed="false">
      <c r="A55" s="27" t="n">
        <v>4</v>
      </c>
      <c r="B55" s="28" t="s">
        <v>108</v>
      </c>
      <c r="C55" s="45" t="s">
        <v>107</v>
      </c>
      <c r="D55" s="45"/>
      <c r="E55" s="45"/>
      <c r="F55" s="45"/>
      <c r="G55" s="46"/>
    </row>
    <row r="56" customFormat="false" ht="63.75" hidden="false" customHeight="true" outlineLevel="0" collapsed="false">
      <c r="A56" s="27" t="n">
        <v>5</v>
      </c>
      <c r="B56" s="28" t="s">
        <v>109</v>
      </c>
      <c r="C56" s="45" t="s">
        <v>107</v>
      </c>
      <c r="D56" s="45"/>
      <c r="E56" s="45"/>
      <c r="F56" s="45"/>
      <c r="G56" s="46"/>
    </row>
    <row r="57" customFormat="false" ht="63.75" hidden="false" customHeight="true" outlineLevel="0" collapsed="false">
      <c r="A57" s="27" t="n">
        <v>6</v>
      </c>
      <c r="B57" s="28" t="s">
        <v>110</v>
      </c>
      <c r="C57" s="45" t="s">
        <v>107</v>
      </c>
      <c r="D57" s="45"/>
      <c r="E57" s="45"/>
      <c r="F57" s="45"/>
      <c r="G57" s="46"/>
    </row>
    <row r="58" customFormat="false" ht="33.75" hidden="false" customHeight="true" outlineLevel="0" collapsed="false">
      <c r="A58" s="27" t="n">
        <v>7</v>
      </c>
      <c r="B58" s="28" t="s">
        <v>111</v>
      </c>
      <c r="C58" s="45"/>
      <c r="D58" s="45"/>
      <c r="E58" s="45"/>
      <c r="F58" s="45"/>
      <c r="G58" s="46"/>
    </row>
    <row r="59" customFormat="false" ht="33.75" hidden="false" customHeight="true" outlineLevel="0" collapsed="false">
      <c r="A59" s="27" t="n">
        <v>8</v>
      </c>
      <c r="B59" s="28" t="s">
        <v>112</v>
      </c>
      <c r="C59" s="45"/>
      <c r="D59" s="45"/>
      <c r="E59" s="45"/>
      <c r="F59" s="45"/>
      <c r="G59" s="46"/>
    </row>
    <row r="60" customFormat="false" ht="33.75" hidden="false" customHeight="true" outlineLevel="0" collapsed="false">
      <c r="A60" s="27" t="n">
        <v>9</v>
      </c>
      <c r="B60" s="28" t="s">
        <v>113</v>
      </c>
      <c r="C60" s="45"/>
      <c r="D60" s="45"/>
      <c r="E60" s="45"/>
      <c r="F60" s="45"/>
      <c r="G60" s="46"/>
    </row>
    <row r="61" customFormat="false" ht="33.75" hidden="false" customHeight="true" outlineLevel="0" collapsed="false">
      <c r="A61" s="27" t="n">
        <v>10</v>
      </c>
      <c r="B61" s="28" t="s">
        <v>114</v>
      </c>
      <c r="C61" s="45"/>
      <c r="D61" s="45"/>
      <c r="E61" s="45"/>
      <c r="F61" s="45"/>
      <c r="G61" s="46"/>
    </row>
    <row r="62" customFormat="false" ht="33.75" hidden="false" customHeight="true" outlineLevel="0" collapsed="false">
      <c r="A62" s="27" t="n">
        <v>11</v>
      </c>
      <c r="B62" s="28" t="s">
        <v>115</v>
      </c>
      <c r="C62" s="45"/>
      <c r="D62" s="45"/>
      <c r="E62" s="45"/>
      <c r="F62" s="45"/>
      <c r="G62" s="46"/>
    </row>
  </sheetData>
  <mergeCells count="55">
    <mergeCell ref="A1:E1"/>
    <mergeCell ref="A2:E2"/>
    <mergeCell ref="A3:E3"/>
    <mergeCell ref="A5:B5"/>
    <mergeCell ref="C5:D5"/>
    <mergeCell ref="F5:G5"/>
    <mergeCell ref="A6:B6"/>
    <mergeCell ref="C6:D6"/>
    <mergeCell ref="F6:G6"/>
    <mergeCell ref="A7:G7"/>
    <mergeCell ref="A9:G9"/>
    <mergeCell ref="A14:G14"/>
    <mergeCell ref="A16:G16"/>
    <mergeCell ref="C19:D19"/>
    <mergeCell ref="E19:F19"/>
    <mergeCell ref="A22:G22"/>
    <mergeCell ref="F23:G23"/>
    <mergeCell ref="F24:G24"/>
    <mergeCell ref="F25:G25"/>
    <mergeCell ref="F26:G26"/>
    <mergeCell ref="F27:G27"/>
    <mergeCell ref="F28:G28"/>
    <mergeCell ref="A29:B29"/>
    <mergeCell ref="F29:G29"/>
    <mergeCell ref="A30:B30"/>
    <mergeCell ref="C30:G30"/>
    <mergeCell ref="A32:G32"/>
    <mergeCell ref="D33:G33"/>
    <mergeCell ref="D34:G34"/>
    <mergeCell ref="D35:G35"/>
    <mergeCell ref="D36:G36"/>
    <mergeCell ref="A38:G38"/>
    <mergeCell ref="F39:G39"/>
    <mergeCell ref="F40:G40"/>
    <mergeCell ref="F41:G41"/>
    <mergeCell ref="A43:G43"/>
    <mergeCell ref="F44:G44"/>
    <mergeCell ref="F45:G45"/>
    <mergeCell ref="F46:G46"/>
    <mergeCell ref="F47:G47"/>
    <mergeCell ref="A48:B48"/>
    <mergeCell ref="F48:G48"/>
    <mergeCell ref="A50:G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</mergeCells>
  <conditionalFormatting sqref="E11">
    <cfRule type="cellIs" priority="2" operator="lessThan" aboveAverage="0" equalAverage="0" bottom="0" percent="0" rank="0" text="" dxfId="0">
      <formula>0.8</formula>
    </cfRule>
    <cfRule type="cellIs" priority="3" operator="greaterThanOrEqual" aboveAverage="0" equalAverage="0" bottom="0" percent="0" rank="0" text="" dxfId="1">
      <formula>1</formula>
    </cfRule>
  </conditionalFormatting>
  <conditionalFormatting sqref="E12">
    <cfRule type="cellIs" priority="4" operator="lessThan" aboveAverage="0" equalAverage="0" bottom="0" percent="0" rank="0" text="" dxfId="0">
      <formula>0.8</formula>
    </cfRule>
    <cfRule type="cellIs" priority="5" operator="greaterThanOrEqual" aboveAverage="0" equalAverage="0" bottom="0" percent="0" rank="0" text="" dxfId="1">
      <formula>1</formula>
    </cfRule>
  </conditionalFormatting>
  <conditionalFormatting sqref="E13">
    <cfRule type="cellIs" priority="6" operator="lessThan" aboveAverage="0" equalAverage="0" bottom="0" percent="0" rank="0" text="" dxfId="0">
      <formula>0.8</formula>
    </cfRule>
    <cfRule type="cellIs" priority="7" operator="greaterThanOrEqual" aboveAverage="0" equalAverage="0" bottom="0" percent="0" rank="0" text="" dxfId="1">
      <formula>1</formula>
    </cfRule>
  </conditionalFormatting>
  <conditionalFormatting sqref="E18">
    <cfRule type="cellIs" priority="8" operator="lessThan" aboveAverage="0" equalAverage="0" bottom="0" percent="0" rank="0" text="" dxfId="0">
      <formula>0.8</formula>
    </cfRule>
    <cfRule type="cellIs" priority="9" operator="greaterThanOrEqual" aboveAverage="0" equalAverage="0" bottom="0" percent="0" rank="0" text="" dxfId="1">
      <formula>1</formula>
    </cfRule>
  </conditionalFormatting>
  <conditionalFormatting sqref="E20">
    <cfRule type="cellIs" priority="10" operator="lessThan" aboveAverage="0" equalAverage="0" bottom="0" percent="0" rank="0" text="" dxfId="0">
      <formula>0.8</formula>
    </cfRule>
    <cfRule type="cellIs" priority="11" operator="greaterThanOrEqual" aboveAverage="0" equalAverage="0" bottom="0" percent="0" rank="0" text="" dxfId="1">
      <formula>1</formula>
    </cfRule>
  </conditionalFormatting>
  <conditionalFormatting sqref="E40">
    <cfRule type="cellIs" priority="12" operator="lessThan" aboveAverage="0" equalAverage="0" bottom="0" percent="0" rank="0" text="" dxfId="0">
      <formula>0.8</formula>
    </cfRule>
    <cfRule type="cellIs" priority="13" operator="greaterThanOrEqual" aboveAverage="0" equalAverage="0" bottom="0" percent="0" rank="0" text="" dxfId="1">
      <formula>1</formula>
    </cfRule>
  </conditionalFormatting>
  <conditionalFormatting sqref="E41">
    <cfRule type="cellIs" priority="14" operator="lessThan" aboveAverage="0" equalAverage="0" bottom="0" percent="0" rank="0" text="" dxfId="0">
      <formula>0.8</formula>
    </cfRule>
    <cfRule type="cellIs" priority="15" operator="greaterThanOrEqual" aboveAverage="0" equalAverage="0" bottom="0" percent="0" rank="0" text="" dxfId="1">
      <formula>1</formula>
    </cfRule>
  </conditionalFormatting>
  <dataValidations count="1">
    <dataValidation allowBlank="true" error="Enter a number (0 or more)." errorStyle="stop" errorTitle="Numbers only" operator="greaterThanOrEqual" showDropDown="false" showErrorMessage="true" showInputMessage="false" sqref="C11:D13 C18:D18 C19 C24:C28 C34:C36 C40:D41 C45:C47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7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&amp;L&amp;"Arial,Regular"&amp;9 Strategic Concepts (I) Pvt Ltd I www.consult4sales.com&amp;R&amp;"Arial,Regular"&amp;9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2026-10-23T07:06:25Z</dcterms:created>
  <dc:creator>openpyxl</dc:creator>
  <dc:description/>
  <dc:language>en-US</dc:language>
  <cp:lastModifiedBy/>
  <dcterms:modified xsi:type="dcterms:W3CDTF">2026-10-23T07:06:25Z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